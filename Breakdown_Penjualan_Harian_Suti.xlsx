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 defaultThemeVersion="153222"/>
  <bookViews>
    <workbookView xWindow="0" yWindow="0" windowWidth="0" windowHeight="0" activeTab="3"/>
  </bookViews>
  <sheets>
    <sheet name="Ringkasan Bulanan" sheetId="1" r:id="rId1"/>
    <sheet name="Mei" sheetId="2" r:id="rId2"/>
    <sheet name="Juni" sheetId="3" r:id="rId3"/>
    <sheet name="Juli" sheetId="4" r:id="rId4"/>
    <sheet name="Semua Harian" sheetId="5" r:id="rId5"/>
  </sheets>
  <calcPr fullCalcOnLoad="1" calcId="124519"/>
</workbook>
</file>

<file path=xl/sharedStrings.xml><?xml version="1.0" encoding="utf-8"?>
<sst xmlns="http://schemas.openxmlformats.org/spreadsheetml/2006/main" uniqueCount="117" count="117">
  <si>
    <t>REKAPITULASI PENJUALAN PRODUK SUTI</t>
  </si>
  <si>
    <t>Periode: Mei - Juli</t>
  </si>
  <si>
    <t>Bulan</t>
  </si>
  <si>
    <t>Ukuran 330ml (Pcs)</t>
  </si>
  <si>
    <t>Ukuran 200ml (Pcs)</t>
  </si>
  <si>
    <t>Total Penjualan (Pcs)</t>
  </si>
  <si>
    <t>Pangsa 330ml (%)</t>
  </si>
  <si>
    <t>Pangsa 200ml (%)</t>
  </si>
  <si>
    <t>Mei</t>
  </si>
  <si>
    <t>Juni</t>
  </si>
  <si>
    <t>Juli</t>
  </si>
  <si>
    <t>TOTAL</t>
  </si>
  <si>
    <t>Rata-rata / Hari</t>
  </si>
  <si>
    <t>-</t>
  </si>
  <si>
    <t>BREAKDOWN PENJUALAN HARIAN - BULAN MEI</t>
  </si>
  <si>
    <t>Total Periode: 31 Hari</t>
  </si>
  <si>
    <t>No</t>
  </si>
  <si>
    <t>Tanggal</t>
  </si>
  <si>
    <t>Total Harian (Pcs)</t>
  </si>
  <si>
    <t>1 Mei</t>
  </si>
  <si>
    <t>2 Mei</t>
  </si>
  <si>
    <t>3 Mei</t>
  </si>
  <si>
    <t>4 Mei</t>
  </si>
  <si>
    <t>5 Mei</t>
  </si>
  <si>
    <t>6 Mei</t>
  </si>
  <si>
    <t>7 Mei</t>
  </si>
  <si>
    <t>8 Mei</t>
  </si>
  <si>
    <t>9 Mei</t>
  </si>
  <si>
    <t>10 Mei</t>
  </si>
  <si>
    <t>11 Mei</t>
  </si>
  <si>
    <t>12 Mei</t>
  </si>
  <si>
    <t>13 Mei</t>
  </si>
  <si>
    <t>14 Mei</t>
  </si>
  <si>
    <t>15 Mei</t>
  </si>
  <si>
    <t>16 Mei</t>
  </si>
  <si>
    <t>17 Mei</t>
  </si>
  <si>
    <t>18 Mei</t>
  </si>
  <si>
    <t>19 Mei</t>
  </si>
  <si>
    <t>20 Mei</t>
  </si>
  <si>
    <t>21 Mei</t>
  </si>
  <si>
    <t>22 Mei</t>
  </si>
  <si>
    <t>23 Mei</t>
  </si>
  <si>
    <t>24 Mei</t>
  </si>
  <si>
    <t>25 Mei</t>
  </si>
  <si>
    <t>26 Mei</t>
  </si>
  <si>
    <t>27 Mei</t>
  </si>
  <si>
    <t>28 Mei</t>
  </si>
  <si>
    <t>29 Mei</t>
  </si>
  <si>
    <t>30 Mei</t>
  </si>
  <si>
    <t>31 Mei</t>
  </si>
  <si>
    <t>RATA-RATA</t>
  </si>
  <si>
    <t>DATA KESELURUHAN BREAKDOWN PENJUALAN HARIAN</t>
  </si>
  <si>
    <t>Mei - Juli (92 Hari)</t>
  </si>
  <si>
    <t>1 Juni</t>
  </si>
  <si>
    <t>2 Juni</t>
  </si>
  <si>
    <t>3 Juni</t>
  </si>
  <si>
    <t>4 Juni</t>
  </si>
  <si>
    <t>5 Juni</t>
  </si>
  <si>
    <t>6 Juni</t>
  </si>
  <si>
    <t>7 Juni</t>
  </si>
  <si>
    <t>8 Juni</t>
  </si>
  <si>
    <t>9 Juni</t>
  </si>
  <si>
    <t>10 Juni</t>
  </si>
  <si>
    <t>11 Juni</t>
  </si>
  <si>
    <t>12 Juni</t>
  </si>
  <si>
    <t>13 Juni</t>
  </si>
  <si>
    <t>14 Juni</t>
  </si>
  <si>
    <t>15 Juni</t>
  </si>
  <si>
    <t>16 Juni</t>
  </si>
  <si>
    <t>17 Juni</t>
  </si>
  <si>
    <t>18 Juni</t>
  </si>
  <si>
    <t>19 Juni</t>
  </si>
  <si>
    <t>20 Juni</t>
  </si>
  <si>
    <t>21 Juni</t>
  </si>
  <si>
    <t>22 Juni</t>
  </si>
  <si>
    <t>23 Juni</t>
  </si>
  <si>
    <t>24 Juni</t>
  </si>
  <si>
    <t>25 Juni</t>
  </si>
  <si>
    <t>26 Juni</t>
  </si>
  <si>
    <t>27 Juni</t>
  </si>
  <si>
    <t>28 Juni</t>
  </si>
  <si>
    <t>29 Juni</t>
  </si>
  <si>
    <t>30 Juni</t>
  </si>
  <si>
    <t>1 Juli</t>
  </si>
  <si>
    <t>2 Juli</t>
  </si>
  <si>
    <t>3 Juli</t>
  </si>
  <si>
    <t>4 Juli</t>
  </si>
  <si>
    <t>5 Juli</t>
  </si>
  <si>
    <t>6 Juli</t>
  </si>
  <si>
    <t>7 Juli</t>
  </si>
  <si>
    <t>8 Juli</t>
  </si>
  <si>
    <t>9 Juli</t>
  </si>
  <si>
    <t>10 Juli</t>
  </si>
  <si>
    <t>11 Juli</t>
  </si>
  <si>
    <t>12 Juli</t>
  </si>
  <si>
    <t>13 Juli</t>
  </si>
  <si>
    <t>14 Juli</t>
  </si>
  <si>
    <t>15 Juli</t>
  </si>
  <si>
    <t>16 Juli</t>
  </si>
  <si>
    <t>17 Juli</t>
  </si>
  <si>
    <t>18 Juli</t>
  </si>
  <si>
    <t>19 Juli</t>
  </si>
  <si>
    <t>20 Juli</t>
  </si>
  <si>
    <t>21 Juli</t>
  </si>
  <si>
    <t>22 Juli</t>
  </si>
  <si>
    <t>23 Juli</t>
  </si>
  <si>
    <t>24 Juli</t>
  </si>
  <si>
    <t>25 Juli</t>
  </si>
  <si>
    <t>26 Juli</t>
  </si>
  <si>
    <t>27 Juli</t>
  </si>
  <si>
    <t>28 Juli</t>
  </si>
  <si>
    <t>29 Juli</t>
  </si>
  <si>
    <t>30 Juli</t>
  </si>
  <si>
    <t>31 Juli</t>
  </si>
  <si>
    <t>BREAKDOWN PENJUALAN HARIAN - BULAN JUNI</t>
  </si>
  <si>
    <t>Total Periode: 30 Hari</t>
  </si>
  <si>
    <t>BREAKDOWN PENJUALAN HARIAN - BULAN JULI</t>
  </si>
</sst>
</file>

<file path=xl/styles.xml><?xml version="1.0" encoding="utf-8"?>
<styleSheet xmlns="http://schemas.openxmlformats.org/spreadsheetml/2006/main">
  <numFmts count="4">
    <numFmt numFmtId="0" formatCode="General"/>
    <numFmt numFmtId="3" formatCode="#,##0"/>
    <numFmt numFmtId="164" formatCode="0.0%"/>
    <numFmt numFmtId="165" formatCode="#,##0.0"/>
  </numFmts>
  <fonts count="6">
    <font>
      <name val="Calibri"/>
      <sz val="11"/>
    </font>
    <font>
      <name val="Calibri"/>
      <b/>
      <sz val="15"/>
      <color rgb="FF1F4E79"/>
    </font>
    <font>
      <name val="Calibri"/>
      <i/>
      <sz val="11"/>
      <color rgb="FF595959"/>
    </font>
    <font>
      <name val="Calibri"/>
      <b/>
      <sz val="11"/>
      <color rgb="FFFFFFFF"/>
    </font>
    <font>
      <name val="Calibri"/>
      <sz val="11"/>
      <color rgb="FF000000"/>
    </font>
    <font>
      <name val="Calibri"/>
      <b/>
      <sz val="11"/>
      <color rgb="FF000000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D9E1F2"/>
        <bgColor rgb="FFD9E1F2"/>
      </patternFill>
    </fill>
    <fill>
      <patternFill patternType="solid">
        <fgColor rgb="FFF9FAFC"/>
        <bgColor rgb="FFF9FAFC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000000"/>
      </top>
      <bottom style="double">
        <color rgb="FF000000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0" applyAlignment="1">
      <alignment vertical="bottom"/>
    </xf>
    <xf numFmtId="0" fontId="2" fillId="0" borderId="0" xfId="0" applyAlignment="1">
      <alignment vertical="bottom"/>
    </xf>
    <xf numFmtId="0" fontId="3" fillId="2" borderId="1" xfId="0" applyAlignment="1">
      <alignment horizontal="center" vertical="center"/>
    </xf>
    <xf numFmtId="0" fontId="4" fillId="0" borderId="1" xfId="0" applyAlignment="1">
      <alignment horizontal="center" vertical="center"/>
    </xf>
    <xf numFmtId="3" fontId="4" fillId="0" borderId="1" xfId="0" applyAlignment="1">
      <alignment horizontal="right" vertical="center"/>
    </xf>
    <xf numFmtId="164" fontId="4" fillId="0" borderId="1" xfId="0" applyAlignment="1">
      <alignment horizontal="right" vertical="center"/>
    </xf>
    <xf numFmtId="0" fontId="5" fillId="3" borderId="2" xfId="0" applyAlignment="1">
      <alignment horizontal="center" vertical="center"/>
    </xf>
    <xf numFmtId="3" fontId="5" fillId="3" borderId="2" xfId="0" applyAlignment="1">
      <alignment horizontal="right" vertical="center"/>
    </xf>
    <xf numFmtId="164" fontId="5" fillId="3" borderId="2" xfId="0" applyAlignment="1">
      <alignment horizontal="right" vertical="center"/>
    </xf>
    <xf numFmtId="165" fontId="4" fillId="0" borderId="1" xfId="0" applyAlignment="1">
      <alignment horizontal="right" vertical="center"/>
    </xf>
    <xf numFmtId="0" fontId="4" fillId="4" borderId="1" xfId="0" applyAlignment="1">
      <alignment horizontal="center" vertical="center"/>
    </xf>
    <xf numFmtId="3" fontId="4" fillId="4" borderId="1" xfId="0" applyAlignment="1">
      <alignment horizontal="right" vertical="center"/>
    </xf>
  </cellXfs>
  <cellStyles count="1">
    <cellStyle name="常规" xfId="0" builtinId="0"/>
  </cellStyles>
  <dxfs count="0"/>
  <tableStyles defaultTableStyle="TableStyleMedium9" defaultPivotStyle="PivotStyleLight16" count="0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www.wps.cn/officeDocument/2020/cellImage" Target="cellimages.xml"/><Relationship Id="rId7" Type="http://schemas.openxmlformats.org/officeDocument/2006/relationships/sharedStrings" Target="sharedStrings.xml"/><Relationship Id="rId8" Type="http://schemas.openxmlformats.org/officeDocument/2006/relationships/styles" Target="styles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G9"/>
  <sheetViews>
    <sheetView workbookViewId="0">
      <selection activeCell="A1" sqref="A1"/>
    </sheetView>
  </sheetViews>
  <sheetFormatPr defaultRowHeight="15.0" defaultColWidth="10"/>
  <cols>
    <col min="1" max="1" customWidth="1" width="21.0" style="0"/>
    <col min="2" max="2" customWidth="1" width="23.0" style="0"/>
    <col min="3" max="3" customWidth="1" width="23.0" style="0"/>
    <col min="4" max="4" customWidth="1" width="26.0" style="0"/>
    <col min="5" max="5" customWidth="1" width="21.0" style="0"/>
    <col min="6" max="6" customWidth="1" width="21.0" style="0"/>
  </cols>
  <sheetData>
    <row r="1" spans="8:8">
      <c r="A1" s="1" t="s">
        <v>0</v>
      </c>
    </row>
    <row r="2" spans="8:8">
      <c r="A2" s="2" t="s">
        <v>1</v>
      </c>
    </row>
    <row r="4" spans="8:8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8:8">
      <c r="A5" s="4" t="s">
        <v>8</v>
      </c>
      <c r="B5" s="5">
        <v>1645.0</v>
      </c>
      <c r="C5" s="5">
        <v>754.0</v>
      </c>
      <c r="D5" s="5">
        <f>SUM(B5:C5)</f>
        <v>2399.0</v>
      </c>
      <c r="E5" s="6">
        <f>B5/D5</f>
        <v>0.6857023759899958</v>
      </c>
      <c r="F5" s="6">
        <f>C5/D5</f>
        <v>0.31429762401000416</v>
      </c>
    </row>
    <row r="6" spans="8:8">
      <c r="A6" s="4" t="s">
        <v>9</v>
      </c>
      <c r="B6" s="5">
        <v>2148.0</v>
      </c>
      <c r="C6" s="5">
        <v>739.0</v>
      </c>
      <c r="D6" s="5">
        <f>SUM(B6:C6)</f>
        <v>2887.0</v>
      </c>
      <c r="E6" s="6">
        <f>B6/D6</f>
        <v>0.744024939383443</v>
      </c>
      <c r="F6" s="6">
        <f>C6/D6</f>
        <v>0.255975060616557</v>
      </c>
    </row>
    <row r="7" spans="8:8">
      <c r="A7" s="4" t="s">
        <v>10</v>
      </c>
      <c r="B7" s="5">
        <v>2241.0</v>
      </c>
      <c r="C7" s="5">
        <v>836.0</v>
      </c>
      <c r="D7" s="5">
        <f>SUM(B7:C7)</f>
        <v>3077.0</v>
      </c>
      <c r="E7" s="6">
        <f>B7/D7</f>
        <v>0.7283067923301918</v>
      </c>
      <c r="F7" s="6">
        <f>C7/D7</f>
        <v>0.27169320766980826</v>
      </c>
    </row>
    <row r="8" spans="8:8">
      <c r="A8" s="7" t="s">
        <v>11</v>
      </c>
      <c r="B8" s="8">
        <f>SUM(B5:B7)</f>
        <v>6034.0</v>
      </c>
      <c r="C8" s="8">
        <f>SUM(C5:C7)</f>
        <v>2329.0</v>
      </c>
      <c r="D8" s="8">
        <f>SUM(D5:D7)</f>
        <v>8363.0</v>
      </c>
      <c r="E8" s="9">
        <f>B8/D8</f>
        <v>0.7215114193471243</v>
      </c>
      <c r="F8" s="9">
        <f>C8/D8</f>
        <v>0.27848858065287574</v>
      </c>
    </row>
    <row r="9" spans="8:8">
      <c r="A9" s="4" t="s">
        <v>12</v>
      </c>
      <c r="B9" s="10">
        <f>B8/92</f>
        <v>65.58695652173913</v>
      </c>
      <c r="C9" s="10">
        <f>C8/92</f>
        <v>25.315217391304348</v>
      </c>
      <c r="D9" s="10">
        <f>D8/92</f>
        <v>90.90217391304348</v>
      </c>
      <c r="E9" s="4" t="s">
        <v>13</v>
      </c>
      <c r="F9" s="4" t="s">
        <v>13</v>
      </c>
    </row>
  </sheetData>
  <pageMargins left="0.75" right="0.75" top="1.0" bottom="1.0" header="0.5" footer="0.5"/>
</worksheet>
</file>

<file path=xl/worksheets/sheet2.xml><?xml version="1.0" encoding="utf-8"?>
<worksheet xmlns:r="http://schemas.openxmlformats.org/officeDocument/2006/relationships" xmlns="http://schemas.openxmlformats.org/spreadsheetml/2006/main">
  <dimension ref="A1:F37"/>
  <sheetViews>
    <sheetView workbookViewId="0">
      <selection activeCell="A1" sqref="A1"/>
    </sheetView>
  </sheetViews>
  <sheetFormatPr defaultRowHeight="15.0" defaultColWidth="10"/>
  <cols>
    <col min="1" max="1" customWidth="1" width="12.0" style="0"/>
    <col min="2" max="2" customWidth="1" width="14.0" style="0"/>
    <col min="3" max="3" customWidth="1" width="23.0" style="0"/>
    <col min="4" max="4" customWidth="1" width="23.0" style="0"/>
    <col min="5" max="5" customWidth="1" width="23.0" style="0"/>
  </cols>
  <sheetData>
    <row r="1" spans="8:8">
      <c r="A1" s="1" t="s">
        <v>14</v>
      </c>
    </row>
    <row r="2" spans="8:8">
      <c r="A2" s="2" t="s">
        <v>15</v>
      </c>
    </row>
    <row r="4" spans="8:8">
      <c r="A4" s="3" t="s">
        <v>16</v>
      </c>
      <c r="B4" s="3" t="s">
        <v>17</v>
      </c>
      <c r="C4" s="3" t="s">
        <v>3</v>
      </c>
      <c r="D4" s="3" t="s">
        <v>4</v>
      </c>
      <c r="E4" s="3" t="s">
        <v>18</v>
      </c>
    </row>
    <row r="5" spans="8:8">
      <c r="A5" s="4">
        <v>1.0</v>
      </c>
      <c r="B5" s="4" t="s">
        <v>19</v>
      </c>
      <c r="C5" s="5">
        <v>60.0</v>
      </c>
      <c r="D5" s="5">
        <v>32.0</v>
      </c>
      <c r="E5" s="5">
        <f>SUM(C5:D5)</f>
        <v>92.0</v>
      </c>
    </row>
    <row r="6" spans="8:8">
      <c r="A6" s="11">
        <v>2.0</v>
      </c>
      <c r="B6" s="11" t="s">
        <v>20</v>
      </c>
      <c r="C6" s="12">
        <v>54.0</v>
      </c>
      <c r="D6" s="12">
        <v>29.0</v>
      </c>
      <c r="E6" s="12">
        <f>SUM(C6:D6)</f>
        <v>83.0</v>
      </c>
    </row>
    <row r="7" spans="8:8">
      <c r="A7" s="4">
        <v>3.0</v>
      </c>
      <c r="B7" s="4" t="s">
        <v>21</v>
      </c>
      <c r="C7" s="5">
        <v>61.0</v>
      </c>
      <c r="D7" s="5">
        <v>26.0</v>
      </c>
      <c r="E7" s="5">
        <f>SUM(C7:D7)</f>
        <v>87.0</v>
      </c>
    </row>
    <row r="8" spans="8:8">
      <c r="A8" s="11">
        <v>4.0</v>
      </c>
      <c r="B8" s="11" t="s">
        <v>22</v>
      </c>
      <c r="C8" s="12">
        <v>70.0</v>
      </c>
      <c r="D8" s="12">
        <v>22.0</v>
      </c>
      <c r="E8" s="12">
        <f>SUM(C8:D8)</f>
        <v>92.0</v>
      </c>
    </row>
    <row r="9" spans="8:8">
      <c r="A9" s="4">
        <v>5.0</v>
      </c>
      <c r="B9" s="4" t="s">
        <v>23</v>
      </c>
      <c r="C9" s="5">
        <v>53.0</v>
      </c>
      <c r="D9" s="5">
        <v>19.0</v>
      </c>
      <c r="E9" s="5">
        <f>SUM(C9:D9)</f>
        <v>72.0</v>
      </c>
    </row>
    <row r="10" spans="8:8">
      <c r="A10" s="11">
        <v>6.0</v>
      </c>
      <c r="B10" s="11" t="s">
        <v>24</v>
      </c>
      <c r="C10" s="12">
        <v>53.0</v>
      </c>
      <c r="D10" s="12">
        <v>26.0</v>
      </c>
      <c r="E10" s="12">
        <f>SUM(C10:D10)</f>
        <v>79.0</v>
      </c>
    </row>
    <row r="11" spans="8:8">
      <c r="A11" s="4">
        <v>7.0</v>
      </c>
      <c r="B11" s="4" t="s">
        <v>25</v>
      </c>
      <c r="C11" s="5">
        <v>72.0</v>
      </c>
      <c r="D11" s="5">
        <v>21.0</v>
      </c>
      <c r="E11" s="5">
        <f>SUM(C11:D11)</f>
        <v>93.0</v>
      </c>
    </row>
    <row r="12" spans="8:8">
      <c r="A12" s="11">
        <v>8.0</v>
      </c>
      <c r="B12" s="11" t="s">
        <v>26</v>
      </c>
      <c r="C12" s="12">
        <v>63.0</v>
      </c>
      <c r="D12" s="12">
        <v>18.0</v>
      </c>
      <c r="E12" s="12">
        <f>SUM(C12:D12)</f>
        <v>81.0</v>
      </c>
    </row>
    <row r="13" spans="8:8">
      <c r="A13" s="4">
        <v>9.0</v>
      </c>
      <c r="B13" s="4" t="s">
        <v>27</v>
      </c>
      <c r="C13" s="5">
        <v>50.0</v>
      </c>
      <c r="D13" s="5">
        <v>22.0</v>
      </c>
      <c r="E13" s="5">
        <f>SUM(C13:D13)</f>
        <v>72.0</v>
      </c>
    </row>
    <row r="14" spans="8:8">
      <c r="A14" s="11">
        <v>10.0</v>
      </c>
      <c r="B14" s="11" t="s">
        <v>28</v>
      </c>
      <c r="C14" s="12">
        <v>60.0</v>
      </c>
      <c r="D14" s="12">
        <v>22.0</v>
      </c>
      <c r="E14" s="12">
        <f>SUM(C14:D14)</f>
        <v>82.0</v>
      </c>
    </row>
    <row r="15" spans="8:8">
      <c r="A15" s="4">
        <v>11.0</v>
      </c>
      <c r="B15" s="4" t="s">
        <v>29</v>
      </c>
      <c r="C15" s="5">
        <v>50.0</v>
      </c>
      <c r="D15" s="5">
        <v>25.0</v>
      </c>
      <c r="E15" s="5">
        <f>SUM(C15:D15)</f>
        <v>75.0</v>
      </c>
    </row>
    <row r="16" spans="8:8">
      <c r="A16" s="11">
        <v>12.0</v>
      </c>
      <c r="B16" s="11" t="s">
        <v>30</v>
      </c>
      <c r="C16" s="12">
        <v>50.0</v>
      </c>
      <c r="D16" s="12">
        <v>23.0</v>
      </c>
      <c r="E16" s="12">
        <f>SUM(C16:D16)</f>
        <v>73.0</v>
      </c>
    </row>
    <row r="17" spans="8:8">
      <c r="A17" s="4">
        <v>13.0</v>
      </c>
      <c r="B17" s="4" t="s">
        <v>31</v>
      </c>
      <c r="C17" s="5">
        <v>57.0</v>
      </c>
      <c r="D17" s="5">
        <v>29.0</v>
      </c>
      <c r="E17" s="5">
        <f>SUM(C17:D17)</f>
        <v>86.0</v>
      </c>
    </row>
    <row r="18" spans="8:8">
      <c r="A18" s="11">
        <v>14.0</v>
      </c>
      <c r="B18" s="11" t="s">
        <v>32</v>
      </c>
      <c r="C18" s="12">
        <v>36.0</v>
      </c>
      <c r="D18" s="12">
        <v>27.0</v>
      </c>
      <c r="E18" s="12">
        <f>SUM(C18:D18)</f>
        <v>63.0</v>
      </c>
    </row>
    <row r="19" spans="8:8">
      <c r="A19" s="4">
        <v>15.0</v>
      </c>
      <c r="B19" s="4" t="s">
        <v>33</v>
      </c>
      <c r="C19" s="5">
        <v>38.0</v>
      </c>
      <c r="D19" s="5">
        <v>23.0</v>
      </c>
      <c r="E19" s="5">
        <f>SUM(C19:D19)</f>
        <v>61.0</v>
      </c>
    </row>
    <row r="20" spans="8:8">
      <c r="A20" s="11">
        <v>16.0</v>
      </c>
      <c r="B20" s="11" t="s">
        <v>34</v>
      </c>
      <c r="C20" s="12">
        <v>49.0</v>
      </c>
      <c r="D20" s="12">
        <v>20.0</v>
      </c>
      <c r="E20" s="12">
        <f>SUM(C20:D20)</f>
        <v>69.0</v>
      </c>
    </row>
    <row r="21" spans="8:8">
      <c r="A21" s="4">
        <v>17.0</v>
      </c>
      <c r="B21" s="4" t="s">
        <v>35</v>
      </c>
      <c r="C21" s="5">
        <v>45.0</v>
      </c>
      <c r="D21" s="5">
        <v>29.0</v>
      </c>
      <c r="E21" s="5">
        <f>SUM(C21:D21)</f>
        <v>74.0</v>
      </c>
    </row>
    <row r="22" spans="8:8">
      <c r="A22" s="11">
        <v>18.0</v>
      </c>
      <c r="B22" s="11" t="s">
        <v>36</v>
      </c>
      <c r="C22" s="12">
        <v>58.0</v>
      </c>
      <c r="D22" s="12">
        <v>27.0</v>
      </c>
      <c r="E22" s="12">
        <f>SUM(C22:D22)</f>
        <v>85.0</v>
      </c>
    </row>
    <row r="23" spans="8:8">
      <c r="A23" s="4">
        <v>19.0</v>
      </c>
      <c r="B23" s="4" t="s">
        <v>37</v>
      </c>
      <c r="C23" s="5">
        <v>46.0</v>
      </c>
      <c r="D23" s="5">
        <v>36.0</v>
      </c>
      <c r="E23" s="5">
        <f>SUM(C23:D23)</f>
        <v>82.0</v>
      </c>
    </row>
    <row r="24" spans="8:8">
      <c r="A24" s="11">
        <v>20.0</v>
      </c>
      <c r="B24" s="11" t="s">
        <v>38</v>
      </c>
      <c r="C24" s="12">
        <v>41.0</v>
      </c>
      <c r="D24" s="12">
        <v>25.0</v>
      </c>
      <c r="E24" s="12">
        <f>SUM(C24:D24)</f>
        <v>66.0</v>
      </c>
    </row>
    <row r="25" spans="8:8">
      <c r="A25" s="4">
        <v>21.0</v>
      </c>
      <c r="B25" s="4" t="s">
        <v>39</v>
      </c>
      <c r="C25" s="5">
        <v>70.0</v>
      </c>
      <c r="D25" s="5">
        <v>31.0</v>
      </c>
      <c r="E25" s="5">
        <f>SUM(C25:D25)</f>
        <v>101.0</v>
      </c>
    </row>
    <row r="26" spans="8:8">
      <c r="A26" s="11">
        <v>22.0</v>
      </c>
      <c r="B26" s="11" t="s">
        <v>40</v>
      </c>
      <c r="C26" s="12">
        <v>53.0</v>
      </c>
      <c r="D26" s="12">
        <v>26.0</v>
      </c>
      <c r="E26" s="12">
        <f>SUM(C26:D26)</f>
        <v>79.0</v>
      </c>
    </row>
    <row r="27" spans="8:8">
      <c r="A27" s="4">
        <v>23.0</v>
      </c>
      <c r="B27" s="4" t="s">
        <v>41</v>
      </c>
      <c r="C27" s="5">
        <v>56.0</v>
      </c>
      <c r="D27" s="5">
        <v>24.0</v>
      </c>
      <c r="E27" s="5">
        <f>SUM(C27:D27)</f>
        <v>80.0</v>
      </c>
    </row>
    <row r="28" spans="8:8">
      <c r="A28" s="11">
        <v>24.0</v>
      </c>
      <c r="B28" s="11" t="s">
        <v>42</v>
      </c>
      <c r="C28" s="12">
        <v>41.0</v>
      </c>
      <c r="D28" s="12">
        <v>17.0</v>
      </c>
      <c r="E28" s="12">
        <f>SUM(C28:D28)</f>
        <v>58.0</v>
      </c>
    </row>
    <row r="29" spans="8:8">
      <c r="A29" s="4">
        <v>25.0</v>
      </c>
      <c r="B29" s="4" t="s">
        <v>43</v>
      </c>
      <c r="C29" s="5">
        <v>50.0</v>
      </c>
      <c r="D29" s="5">
        <v>27.0</v>
      </c>
      <c r="E29" s="5">
        <f>SUM(C29:D29)</f>
        <v>77.0</v>
      </c>
    </row>
    <row r="30" spans="8:8">
      <c r="A30" s="11">
        <v>26.0</v>
      </c>
      <c r="B30" s="11" t="s">
        <v>44</v>
      </c>
      <c r="C30" s="12">
        <v>56.0</v>
      </c>
      <c r="D30" s="12">
        <v>20.0</v>
      </c>
      <c r="E30" s="12">
        <f>SUM(C30:D30)</f>
        <v>76.0</v>
      </c>
    </row>
    <row r="31" spans="8:8">
      <c r="A31" s="4">
        <v>27.0</v>
      </c>
      <c r="B31" s="4" t="s">
        <v>45</v>
      </c>
      <c r="C31" s="5">
        <v>44.0</v>
      </c>
      <c r="D31" s="5">
        <v>22.0</v>
      </c>
      <c r="E31" s="5">
        <f>SUM(C31:D31)</f>
        <v>66.0</v>
      </c>
    </row>
    <row r="32" spans="8:8">
      <c r="A32" s="11">
        <v>28.0</v>
      </c>
      <c r="B32" s="11" t="s">
        <v>46</v>
      </c>
      <c r="C32" s="12">
        <v>59.0</v>
      </c>
      <c r="D32" s="12">
        <v>24.0</v>
      </c>
      <c r="E32" s="12">
        <f>SUM(C32:D32)</f>
        <v>83.0</v>
      </c>
    </row>
    <row r="33" spans="8:8">
      <c r="A33" s="4">
        <v>29.0</v>
      </c>
      <c r="B33" s="4" t="s">
        <v>47</v>
      </c>
      <c r="C33" s="5">
        <v>49.0</v>
      </c>
      <c r="D33" s="5">
        <v>23.0</v>
      </c>
      <c r="E33" s="5">
        <f>SUM(C33:D33)</f>
        <v>72.0</v>
      </c>
    </row>
    <row r="34" spans="8:8">
      <c r="A34" s="11">
        <v>30.0</v>
      </c>
      <c r="B34" s="11" t="s">
        <v>48</v>
      </c>
      <c r="C34" s="12">
        <v>52.0</v>
      </c>
      <c r="D34" s="12">
        <v>17.0</v>
      </c>
      <c r="E34" s="12">
        <f>SUM(C34:D34)</f>
        <v>69.0</v>
      </c>
    </row>
    <row r="35" spans="8:8">
      <c r="A35" s="4">
        <v>31.0</v>
      </c>
      <c r="B35" s="4" t="s">
        <v>49</v>
      </c>
      <c r="C35" s="5">
        <v>49.0</v>
      </c>
      <c r="D35" s="5">
        <v>22.0</v>
      </c>
      <c r="E35" s="5">
        <f>SUM(C35:D35)</f>
        <v>71.0</v>
      </c>
    </row>
    <row r="36" spans="8:8">
      <c r="A36" s="7"/>
      <c r="B36" s="7" t="s">
        <v>11</v>
      </c>
      <c r="C36" s="8">
        <f>SUM(C5:C35)</f>
        <v>1645.0</v>
      </c>
      <c r="D36" s="8">
        <f>SUM(D5:D35)</f>
        <v>754.0</v>
      </c>
      <c r="E36" s="8">
        <f>SUM(E5:E35)</f>
        <v>2399.0</v>
      </c>
    </row>
    <row r="37" spans="8:8">
      <c r="A37" s="4"/>
      <c r="B37" s="4" t="s">
        <v>50</v>
      </c>
      <c r="C37" s="10">
        <f>AVERAGE(C5:C35)</f>
        <v>53.064516129032256</v>
      </c>
      <c r="D37" s="10">
        <f>AVERAGE(D5:D35)</f>
        <v>24.322580645161292</v>
      </c>
      <c r="E37" s="10">
        <f>AVERAGE(E5:E35)</f>
        <v>77.38709677419355</v>
      </c>
    </row>
  </sheetData>
  <pageMargins left="0.75" right="0.75" top="1.0" bottom="1.0" header="0.5" footer="0.5"/>
</worksheet>
</file>

<file path=xl/worksheets/sheet3.xml><?xml version="1.0" encoding="utf-8"?>
<worksheet xmlns:r="http://schemas.openxmlformats.org/officeDocument/2006/relationships" xmlns="http://schemas.openxmlformats.org/spreadsheetml/2006/main">
  <dimension ref="A1:F36"/>
  <sheetViews>
    <sheetView workbookViewId="0">
      <selection activeCell="A1" sqref="A1"/>
    </sheetView>
  </sheetViews>
  <sheetFormatPr defaultRowHeight="15.0" defaultColWidth="10"/>
  <cols>
    <col min="1" max="1" customWidth="1" width="12.0" style="0"/>
    <col min="2" max="2" customWidth="1" width="14.0" style="0"/>
    <col min="3" max="3" customWidth="1" width="23.0" style="0"/>
    <col min="4" max="4" customWidth="1" width="23.0" style="0"/>
    <col min="5" max="5" customWidth="1" width="23.0" style="0"/>
  </cols>
  <sheetData>
    <row r="1" spans="8:8">
      <c r="A1" s="1" t="s">
        <v>114</v>
      </c>
    </row>
    <row r="2" spans="8:8">
      <c r="A2" s="2" t="s">
        <v>115</v>
      </c>
    </row>
    <row r="4" spans="8:8">
      <c r="A4" s="3" t="s">
        <v>16</v>
      </c>
      <c r="B4" s="3" t="s">
        <v>17</v>
      </c>
      <c r="C4" s="3" t="s">
        <v>3</v>
      </c>
      <c r="D4" s="3" t="s">
        <v>4</v>
      </c>
      <c r="E4" s="3" t="s">
        <v>18</v>
      </c>
    </row>
    <row r="5" spans="8:8">
      <c r="A5" s="4">
        <v>1.0</v>
      </c>
      <c r="B5" s="4" t="s">
        <v>53</v>
      </c>
      <c r="C5" s="5">
        <v>84.0</v>
      </c>
      <c r="D5" s="5">
        <v>21.0</v>
      </c>
      <c r="E5" s="5">
        <f>SUM(C5:D5)</f>
        <v>105.0</v>
      </c>
    </row>
    <row r="6" spans="8:8">
      <c r="A6" s="11">
        <v>2.0</v>
      </c>
      <c r="B6" s="11" t="s">
        <v>54</v>
      </c>
      <c r="C6" s="12">
        <v>82.0</v>
      </c>
      <c r="D6" s="12">
        <v>23.0</v>
      </c>
      <c r="E6" s="12">
        <f>SUM(C6:D6)</f>
        <v>105.0</v>
      </c>
    </row>
    <row r="7" spans="8:8">
      <c r="A7" s="4">
        <v>3.0</v>
      </c>
      <c r="B7" s="4" t="s">
        <v>55</v>
      </c>
      <c r="C7" s="5">
        <v>60.0</v>
      </c>
      <c r="D7" s="5">
        <v>29.0</v>
      </c>
      <c r="E7" s="5">
        <f>SUM(C7:D7)</f>
        <v>89.0</v>
      </c>
    </row>
    <row r="8" spans="8:8">
      <c r="A8" s="11">
        <v>4.0</v>
      </c>
      <c r="B8" s="11" t="s">
        <v>56</v>
      </c>
      <c r="C8" s="12">
        <v>67.0</v>
      </c>
      <c r="D8" s="12">
        <v>26.0</v>
      </c>
      <c r="E8" s="12">
        <f>SUM(C8:D8)</f>
        <v>93.0</v>
      </c>
    </row>
    <row r="9" spans="8:8">
      <c r="A9" s="4">
        <v>5.0</v>
      </c>
      <c r="B9" s="4" t="s">
        <v>57</v>
      </c>
      <c r="C9" s="5">
        <v>75.0</v>
      </c>
      <c r="D9" s="5">
        <v>22.0</v>
      </c>
      <c r="E9" s="5">
        <f>SUM(C9:D9)</f>
        <v>97.0</v>
      </c>
    </row>
    <row r="10" spans="8:8">
      <c r="A10" s="11">
        <v>6.0</v>
      </c>
      <c r="B10" s="11" t="s">
        <v>58</v>
      </c>
      <c r="C10" s="12">
        <v>83.0</v>
      </c>
      <c r="D10" s="12">
        <v>27.0</v>
      </c>
      <c r="E10" s="12">
        <f>SUM(C10:D10)</f>
        <v>110.0</v>
      </c>
    </row>
    <row r="11" spans="8:8">
      <c r="A11" s="4">
        <v>7.0</v>
      </c>
      <c r="B11" s="4" t="s">
        <v>59</v>
      </c>
      <c r="C11" s="5">
        <v>64.0</v>
      </c>
      <c r="D11" s="5">
        <v>25.0</v>
      </c>
      <c r="E11" s="5">
        <f>SUM(C11:D11)</f>
        <v>89.0</v>
      </c>
    </row>
    <row r="12" spans="8:8">
      <c r="A12" s="11">
        <v>8.0</v>
      </c>
      <c r="B12" s="11" t="s">
        <v>60</v>
      </c>
      <c r="C12" s="12">
        <v>68.0</v>
      </c>
      <c r="D12" s="12">
        <v>29.0</v>
      </c>
      <c r="E12" s="12">
        <f>SUM(C12:D12)</f>
        <v>97.0</v>
      </c>
    </row>
    <row r="13" spans="8:8">
      <c r="A13" s="4">
        <v>9.0</v>
      </c>
      <c r="B13" s="4" t="s">
        <v>61</v>
      </c>
      <c r="C13" s="5">
        <v>56.0</v>
      </c>
      <c r="D13" s="5">
        <v>22.0</v>
      </c>
      <c r="E13" s="5">
        <f>SUM(C13:D13)</f>
        <v>78.0</v>
      </c>
    </row>
    <row r="14" spans="8:8">
      <c r="A14" s="11">
        <v>10.0</v>
      </c>
      <c r="B14" s="11" t="s">
        <v>62</v>
      </c>
      <c r="C14" s="12">
        <v>55.0</v>
      </c>
      <c r="D14" s="12">
        <v>23.0</v>
      </c>
      <c r="E14" s="12">
        <f>SUM(C14:D14)</f>
        <v>78.0</v>
      </c>
    </row>
    <row r="15" spans="8:8">
      <c r="A15" s="4">
        <v>11.0</v>
      </c>
      <c r="B15" s="4" t="s">
        <v>63</v>
      </c>
      <c r="C15" s="5">
        <v>81.0</v>
      </c>
      <c r="D15" s="5">
        <v>23.0</v>
      </c>
      <c r="E15" s="5">
        <f>SUM(C15:D15)</f>
        <v>104.0</v>
      </c>
    </row>
    <row r="16" spans="8:8">
      <c r="A16" s="11">
        <v>12.0</v>
      </c>
      <c r="B16" s="11" t="s">
        <v>64</v>
      </c>
      <c r="C16" s="12">
        <v>88.0</v>
      </c>
      <c r="D16" s="12">
        <v>18.0</v>
      </c>
      <c r="E16" s="12">
        <f>SUM(C16:D16)</f>
        <v>106.0</v>
      </c>
    </row>
    <row r="17" spans="8:8">
      <c r="A17" s="4">
        <v>13.0</v>
      </c>
      <c r="B17" s="4" t="s">
        <v>65</v>
      </c>
      <c r="C17" s="5">
        <v>70.0</v>
      </c>
      <c r="D17" s="5">
        <v>26.0</v>
      </c>
      <c r="E17" s="5">
        <f>SUM(C17:D17)</f>
        <v>96.0</v>
      </c>
    </row>
    <row r="18" spans="8:8">
      <c r="A18" s="11">
        <v>14.0</v>
      </c>
      <c r="B18" s="11" t="s">
        <v>66</v>
      </c>
      <c r="C18" s="12">
        <v>83.0</v>
      </c>
      <c r="D18" s="12">
        <v>26.0</v>
      </c>
      <c r="E18" s="12">
        <f>SUM(C18:D18)</f>
        <v>109.0</v>
      </c>
    </row>
    <row r="19" spans="8:8">
      <c r="A19" s="4">
        <v>15.0</v>
      </c>
      <c r="B19" s="4" t="s">
        <v>67</v>
      </c>
      <c r="C19" s="5">
        <v>75.0</v>
      </c>
      <c r="D19" s="5">
        <v>25.0</v>
      </c>
      <c r="E19" s="5">
        <f>SUM(C19:D19)</f>
        <v>100.0</v>
      </c>
    </row>
    <row r="20" spans="8:8">
      <c r="A20" s="11">
        <v>16.0</v>
      </c>
      <c r="B20" s="11" t="s">
        <v>68</v>
      </c>
      <c r="C20" s="12">
        <v>62.0</v>
      </c>
      <c r="D20" s="12">
        <v>24.0</v>
      </c>
      <c r="E20" s="12">
        <f>SUM(C20:D20)</f>
        <v>86.0</v>
      </c>
    </row>
    <row r="21" spans="8:8">
      <c r="A21" s="4">
        <v>17.0</v>
      </c>
      <c r="B21" s="4" t="s">
        <v>69</v>
      </c>
      <c r="C21" s="5">
        <v>75.0</v>
      </c>
      <c r="D21" s="5">
        <v>19.0</v>
      </c>
      <c r="E21" s="5">
        <f>SUM(C21:D21)</f>
        <v>94.0</v>
      </c>
    </row>
    <row r="22" spans="8:8">
      <c r="A22" s="11">
        <v>18.0</v>
      </c>
      <c r="B22" s="11" t="s">
        <v>70</v>
      </c>
      <c r="C22" s="12">
        <v>90.0</v>
      </c>
      <c r="D22" s="12">
        <v>23.0</v>
      </c>
      <c r="E22" s="12">
        <f>SUM(C22:D22)</f>
        <v>113.0</v>
      </c>
    </row>
    <row r="23" spans="8:8">
      <c r="A23" s="4">
        <v>19.0</v>
      </c>
      <c r="B23" s="4" t="s">
        <v>71</v>
      </c>
      <c r="C23" s="5">
        <v>70.0</v>
      </c>
      <c r="D23" s="5">
        <v>23.0</v>
      </c>
      <c r="E23" s="5">
        <f>SUM(C23:D23)</f>
        <v>93.0</v>
      </c>
    </row>
    <row r="24" spans="8:8">
      <c r="A24" s="11">
        <v>20.0</v>
      </c>
      <c r="B24" s="11" t="s">
        <v>72</v>
      </c>
      <c r="C24" s="12">
        <v>90.0</v>
      </c>
      <c r="D24" s="12">
        <v>21.0</v>
      </c>
      <c r="E24" s="12">
        <f>SUM(C24:D24)</f>
        <v>111.0</v>
      </c>
    </row>
    <row r="25" spans="8:8">
      <c r="A25" s="4">
        <v>21.0</v>
      </c>
      <c r="B25" s="4" t="s">
        <v>73</v>
      </c>
      <c r="C25" s="5">
        <v>37.0</v>
      </c>
      <c r="D25" s="5">
        <v>24.0</v>
      </c>
      <c r="E25" s="5">
        <f>SUM(C25:D25)</f>
        <v>61.0</v>
      </c>
    </row>
    <row r="26" spans="8:8">
      <c r="A26" s="11">
        <v>22.0</v>
      </c>
      <c r="B26" s="11" t="s">
        <v>74</v>
      </c>
      <c r="C26" s="12">
        <v>81.0</v>
      </c>
      <c r="D26" s="12">
        <v>28.0</v>
      </c>
      <c r="E26" s="12">
        <f>SUM(C26:D26)</f>
        <v>109.0</v>
      </c>
    </row>
    <row r="27" spans="8:8">
      <c r="A27" s="4">
        <v>23.0</v>
      </c>
      <c r="B27" s="4" t="s">
        <v>75</v>
      </c>
      <c r="C27" s="5">
        <v>72.0</v>
      </c>
      <c r="D27" s="5">
        <v>33.0</v>
      </c>
      <c r="E27" s="5">
        <f>SUM(C27:D27)</f>
        <v>105.0</v>
      </c>
    </row>
    <row r="28" spans="8:8">
      <c r="A28" s="11">
        <v>24.0</v>
      </c>
      <c r="B28" s="11" t="s">
        <v>76</v>
      </c>
      <c r="C28" s="12">
        <v>67.0</v>
      </c>
      <c r="D28" s="12">
        <v>26.0</v>
      </c>
      <c r="E28" s="12">
        <f>SUM(C28:D28)</f>
        <v>93.0</v>
      </c>
    </row>
    <row r="29" spans="8:8">
      <c r="A29" s="4">
        <v>25.0</v>
      </c>
      <c r="B29" s="4" t="s">
        <v>77</v>
      </c>
      <c r="C29" s="5">
        <v>72.0</v>
      </c>
      <c r="D29" s="5">
        <v>26.0</v>
      </c>
      <c r="E29" s="5">
        <f>SUM(C29:D29)</f>
        <v>98.0</v>
      </c>
    </row>
    <row r="30" spans="8:8">
      <c r="A30" s="11">
        <v>26.0</v>
      </c>
      <c r="B30" s="11" t="s">
        <v>78</v>
      </c>
      <c r="C30" s="12">
        <v>45.0</v>
      </c>
      <c r="D30" s="12">
        <v>25.0</v>
      </c>
      <c r="E30" s="12">
        <f>SUM(C30:D30)</f>
        <v>70.0</v>
      </c>
    </row>
    <row r="31" spans="8:8">
      <c r="A31" s="4">
        <v>27.0</v>
      </c>
      <c r="B31" s="4" t="s">
        <v>79</v>
      </c>
      <c r="C31" s="5">
        <v>68.0</v>
      </c>
      <c r="D31" s="5">
        <v>16.0</v>
      </c>
      <c r="E31" s="5">
        <f>SUM(C31:D31)</f>
        <v>84.0</v>
      </c>
    </row>
    <row r="32" spans="8:8">
      <c r="A32" s="11">
        <v>28.0</v>
      </c>
      <c r="B32" s="11" t="s">
        <v>80</v>
      </c>
      <c r="C32" s="12">
        <v>75.0</v>
      </c>
      <c r="D32" s="12">
        <v>25.0</v>
      </c>
      <c r="E32" s="12">
        <f>SUM(C32:D32)</f>
        <v>100.0</v>
      </c>
    </row>
    <row r="33" spans="8:8">
      <c r="A33" s="4">
        <v>29.0</v>
      </c>
      <c r="B33" s="4" t="s">
        <v>81</v>
      </c>
      <c r="C33" s="5">
        <v>89.0</v>
      </c>
      <c r="D33" s="5">
        <v>25.0</v>
      </c>
      <c r="E33" s="5">
        <f>SUM(C33:D33)</f>
        <v>114.0</v>
      </c>
    </row>
    <row r="34" spans="8:8">
      <c r="A34" s="11">
        <v>30.0</v>
      </c>
      <c r="B34" s="11" t="s">
        <v>82</v>
      </c>
      <c r="C34" s="12">
        <v>64.0</v>
      </c>
      <c r="D34" s="12">
        <v>36.0</v>
      </c>
      <c r="E34" s="12">
        <f>SUM(C34:D34)</f>
        <v>100.0</v>
      </c>
    </row>
    <row r="35" spans="8:8">
      <c r="A35" s="7"/>
      <c r="B35" s="7" t="s">
        <v>11</v>
      </c>
      <c r="C35" s="8">
        <f>SUM(C5:C34)</f>
        <v>2148.0</v>
      </c>
      <c r="D35" s="8">
        <f>SUM(D5:D34)</f>
        <v>739.0</v>
      </c>
      <c r="E35" s="8">
        <f>SUM(E5:E34)</f>
        <v>2887.0</v>
      </c>
    </row>
    <row r="36" spans="8:8">
      <c r="A36" s="4"/>
      <c r="B36" s="4" t="s">
        <v>50</v>
      </c>
      <c r="C36" s="10">
        <f>AVERAGE(C5:C34)</f>
        <v>71.6</v>
      </c>
      <c r="D36" s="10">
        <f>AVERAGE(D5:D34)</f>
        <v>24.633333333333333</v>
      </c>
      <c r="E36" s="10">
        <f>AVERAGE(E5:E34)</f>
        <v>96.23333333333333</v>
      </c>
    </row>
  </sheetData>
  <pageMargins left="0.75" right="0.75" top="1.0" bottom="1.0" header="0.5" footer="0.5"/>
</worksheet>
</file>

<file path=xl/worksheets/sheet4.xml><?xml version="1.0" encoding="utf-8"?>
<worksheet xmlns:r="http://schemas.openxmlformats.org/officeDocument/2006/relationships" xmlns="http://schemas.openxmlformats.org/spreadsheetml/2006/main">
  <dimension ref="A1:F37"/>
  <sheetViews>
    <sheetView tabSelected="1" workbookViewId="0">
      <selection activeCell="A1" sqref="A1"/>
    </sheetView>
  </sheetViews>
  <sheetFormatPr defaultRowHeight="15.0" defaultColWidth="10"/>
  <cols>
    <col min="1" max="1" customWidth="1" width="12.0" style="0"/>
    <col min="2" max="2" customWidth="1" width="14.0" style="0"/>
    <col min="3" max="3" customWidth="1" width="23.0" style="0"/>
    <col min="4" max="4" customWidth="1" width="23.0" style="0"/>
    <col min="5" max="5" customWidth="1" width="23.0" style="0"/>
  </cols>
  <sheetData>
    <row r="1" spans="8:8">
      <c r="A1" s="1" t="s">
        <v>116</v>
      </c>
    </row>
    <row r="2" spans="8:8">
      <c r="A2" s="2" t="s">
        <v>15</v>
      </c>
    </row>
    <row r="4" spans="8:8">
      <c r="A4" s="3" t="s">
        <v>16</v>
      </c>
      <c r="B4" s="3" t="s">
        <v>17</v>
      </c>
      <c r="C4" s="3" t="s">
        <v>3</v>
      </c>
      <c r="D4" s="3" t="s">
        <v>4</v>
      </c>
      <c r="E4" s="3" t="s">
        <v>18</v>
      </c>
    </row>
    <row r="5" spans="8:8">
      <c r="A5" s="4">
        <v>1.0</v>
      </c>
      <c r="B5" s="4" t="s">
        <v>83</v>
      </c>
      <c r="C5" s="5">
        <v>69.0</v>
      </c>
      <c r="D5" s="5">
        <v>28.0</v>
      </c>
      <c r="E5" s="5">
        <f>SUM(C5:D5)</f>
        <v>97.0</v>
      </c>
    </row>
    <row r="6" spans="8:8">
      <c r="A6" s="11">
        <v>2.0</v>
      </c>
      <c r="B6" s="11" t="s">
        <v>84</v>
      </c>
      <c r="C6" s="12">
        <v>67.0</v>
      </c>
      <c r="D6" s="12">
        <v>24.0</v>
      </c>
      <c r="E6" s="12">
        <f>SUM(C6:D6)</f>
        <v>91.0</v>
      </c>
    </row>
    <row r="7" spans="8:8">
      <c r="A7" s="4">
        <v>3.0</v>
      </c>
      <c r="B7" s="4" t="s">
        <v>85</v>
      </c>
      <c r="C7" s="5">
        <v>88.0</v>
      </c>
      <c r="D7" s="5">
        <v>28.0</v>
      </c>
      <c r="E7" s="5">
        <f>SUM(C7:D7)</f>
        <v>116.0</v>
      </c>
    </row>
    <row r="8" spans="8:8">
      <c r="A8" s="11">
        <v>4.0</v>
      </c>
      <c r="B8" s="11" t="s">
        <v>86</v>
      </c>
      <c r="C8" s="12">
        <v>83.0</v>
      </c>
      <c r="D8" s="12">
        <v>30.0</v>
      </c>
      <c r="E8" s="12">
        <f>SUM(C8:D8)</f>
        <v>113.0</v>
      </c>
    </row>
    <row r="9" spans="8:8">
      <c r="A9" s="4">
        <v>5.0</v>
      </c>
      <c r="B9" s="4" t="s">
        <v>87</v>
      </c>
      <c r="C9" s="5">
        <v>38.0</v>
      </c>
      <c r="D9" s="5">
        <v>28.0</v>
      </c>
      <c r="E9" s="5">
        <f>SUM(C9:D9)</f>
        <v>66.0</v>
      </c>
    </row>
    <row r="10" spans="8:8">
      <c r="A10" s="11">
        <v>6.0</v>
      </c>
      <c r="B10" s="11" t="s">
        <v>88</v>
      </c>
      <c r="C10" s="12">
        <v>88.0</v>
      </c>
      <c r="D10" s="12">
        <v>32.0</v>
      </c>
      <c r="E10" s="12">
        <f>SUM(C10:D10)</f>
        <v>120.0</v>
      </c>
    </row>
    <row r="11" spans="8:8">
      <c r="A11" s="4">
        <v>7.0</v>
      </c>
      <c r="B11" s="4" t="s">
        <v>89</v>
      </c>
      <c r="C11" s="5">
        <v>97.0</v>
      </c>
      <c r="D11" s="5">
        <v>37.0</v>
      </c>
      <c r="E11" s="5">
        <f>SUM(C11:D11)</f>
        <v>134.0</v>
      </c>
    </row>
    <row r="12" spans="8:8">
      <c r="A12" s="11">
        <v>8.0</v>
      </c>
      <c r="B12" s="11" t="s">
        <v>90</v>
      </c>
      <c r="C12" s="12">
        <v>85.0</v>
      </c>
      <c r="D12" s="12">
        <v>24.0</v>
      </c>
      <c r="E12" s="12">
        <f>SUM(C12:D12)</f>
        <v>109.0</v>
      </c>
    </row>
    <row r="13" spans="8:8">
      <c r="A13" s="4">
        <v>9.0</v>
      </c>
      <c r="B13" s="4" t="s">
        <v>91</v>
      </c>
      <c r="C13" s="5">
        <v>67.0</v>
      </c>
      <c r="D13" s="5">
        <v>24.0</v>
      </c>
      <c r="E13" s="5">
        <f>SUM(C13:D13)</f>
        <v>91.0</v>
      </c>
    </row>
    <row r="14" spans="8:8">
      <c r="A14" s="11">
        <v>10.0</v>
      </c>
      <c r="B14" s="11" t="s">
        <v>92</v>
      </c>
      <c r="C14" s="12">
        <v>61.0</v>
      </c>
      <c r="D14" s="12">
        <v>19.0</v>
      </c>
      <c r="E14" s="12">
        <f>SUM(C14:D14)</f>
        <v>80.0</v>
      </c>
    </row>
    <row r="15" spans="8:8">
      <c r="A15" s="4">
        <v>11.0</v>
      </c>
      <c r="B15" s="4" t="s">
        <v>93</v>
      </c>
      <c r="C15" s="5">
        <v>79.0</v>
      </c>
      <c r="D15" s="5">
        <v>31.0</v>
      </c>
      <c r="E15" s="5">
        <f>SUM(C15:D15)</f>
        <v>110.0</v>
      </c>
    </row>
    <row r="16" spans="8:8">
      <c r="A16" s="11">
        <v>12.0</v>
      </c>
      <c r="B16" s="11" t="s">
        <v>94</v>
      </c>
      <c r="C16" s="12">
        <v>62.0</v>
      </c>
      <c r="D16" s="12">
        <v>31.0</v>
      </c>
      <c r="E16" s="12">
        <f>SUM(C16:D16)</f>
        <v>93.0</v>
      </c>
    </row>
    <row r="17" spans="8:8">
      <c r="A17" s="4">
        <v>13.0</v>
      </c>
      <c r="B17" s="4" t="s">
        <v>95</v>
      </c>
      <c r="C17" s="5">
        <v>74.0</v>
      </c>
      <c r="D17" s="5">
        <v>21.0</v>
      </c>
      <c r="E17" s="5">
        <f>SUM(C17:D17)</f>
        <v>95.0</v>
      </c>
    </row>
    <row r="18" spans="8:8">
      <c r="A18" s="11">
        <v>14.0</v>
      </c>
      <c r="B18" s="11" t="s">
        <v>96</v>
      </c>
      <c r="C18" s="12">
        <v>70.0</v>
      </c>
      <c r="D18" s="12">
        <v>28.0</v>
      </c>
      <c r="E18" s="12">
        <f>SUM(C18:D18)</f>
        <v>98.0</v>
      </c>
    </row>
    <row r="19" spans="8:8">
      <c r="A19" s="4">
        <v>15.0</v>
      </c>
      <c r="B19" s="4" t="s">
        <v>97</v>
      </c>
      <c r="C19" s="5">
        <v>85.0</v>
      </c>
      <c r="D19" s="5">
        <v>31.0</v>
      </c>
      <c r="E19" s="5">
        <f>SUM(C19:D19)</f>
        <v>116.0</v>
      </c>
    </row>
    <row r="20" spans="8:8">
      <c r="A20" s="11">
        <v>16.0</v>
      </c>
      <c r="B20" s="11" t="s">
        <v>98</v>
      </c>
      <c r="C20" s="12">
        <v>65.0</v>
      </c>
      <c r="D20" s="12">
        <v>26.0</v>
      </c>
      <c r="E20" s="12">
        <f>SUM(C20:D20)</f>
        <v>91.0</v>
      </c>
    </row>
    <row r="21" spans="8:8">
      <c r="A21" s="4">
        <v>17.0</v>
      </c>
      <c r="B21" s="4" t="s">
        <v>99</v>
      </c>
      <c r="C21" s="5">
        <v>64.0</v>
      </c>
      <c r="D21" s="5">
        <v>29.0</v>
      </c>
      <c r="E21" s="5">
        <f>SUM(C21:D21)</f>
        <v>93.0</v>
      </c>
    </row>
    <row r="22" spans="8:8">
      <c r="A22" s="11">
        <v>18.0</v>
      </c>
      <c r="B22" s="11" t="s">
        <v>100</v>
      </c>
      <c r="C22" s="12">
        <v>75.0</v>
      </c>
      <c r="D22" s="12">
        <v>26.0</v>
      </c>
      <c r="E22" s="12">
        <f>SUM(C22:D22)</f>
        <v>101.0</v>
      </c>
    </row>
    <row r="23" spans="8:8">
      <c r="A23" s="4">
        <v>19.0</v>
      </c>
      <c r="B23" s="4" t="s">
        <v>101</v>
      </c>
      <c r="C23" s="5">
        <v>94.0</v>
      </c>
      <c r="D23" s="5">
        <v>21.0</v>
      </c>
      <c r="E23" s="5">
        <f>SUM(C23:D23)</f>
        <v>115.0</v>
      </c>
    </row>
    <row r="24" spans="8:8">
      <c r="A24" s="11">
        <v>20.0</v>
      </c>
      <c r="B24" s="11" t="s">
        <v>102</v>
      </c>
      <c r="C24" s="12">
        <v>71.0</v>
      </c>
      <c r="D24" s="12">
        <v>30.0</v>
      </c>
      <c r="E24" s="12">
        <f>SUM(C24:D24)</f>
        <v>101.0</v>
      </c>
    </row>
    <row r="25" spans="8:8">
      <c r="A25" s="4">
        <v>21.0</v>
      </c>
      <c r="B25" s="4" t="s">
        <v>103</v>
      </c>
      <c r="C25" s="5">
        <v>65.0</v>
      </c>
      <c r="D25" s="5">
        <v>31.0</v>
      </c>
      <c r="E25" s="5">
        <f>SUM(C25:D25)</f>
        <v>96.0</v>
      </c>
    </row>
    <row r="26" spans="8:8">
      <c r="A26" s="11">
        <v>22.0</v>
      </c>
      <c r="B26" s="11" t="s">
        <v>104</v>
      </c>
      <c r="C26" s="12">
        <v>81.0</v>
      </c>
      <c r="D26" s="12">
        <v>30.0</v>
      </c>
      <c r="E26" s="12">
        <f>SUM(C26:D26)</f>
        <v>111.0</v>
      </c>
    </row>
    <row r="27" spans="8:8">
      <c r="A27" s="4">
        <v>23.0</v>
      </c>
      <c r="B27" s="4" t="s">
        <v>105</v>
      </c>
      <c r="C27" s="5">
        <v>79.0</v>
      </c>
      <c r="D27" s="5">
        <v>21.0</v>
      </c>
      <c r="E27" s="5">
        <f>SUM(C27:D27)</f>
        <v>100.0</v>
      </c>
    </row>
    <row r="28" spans="8:8">
      <c r="A28" s="11">
        <v>24.0</v>
      </c>
      <c r="B28" s="11" t="s">
        <v>106</v>
      </c>
      <c r="C28" s="12">
        <v>58.0</v>
      </c>
      <c r="D28" s="12">
        <v>22.0</v>
      </c>
      <c r="E28" s="12">
        <f>SUM(C28:D28)</f>
        <v>80.0</v>
      </c>
    </row>
    <row r="29" spans="8:8">
      <c r="A29" s="4">
        <v>25.0</v>
      </c>
      <c r="B29" s="4" t="s">
        <v>107</v>
      </c>
      <c r="C29" s="5">
        <v>63.0</v>
      </c>
      <c r="D29" s="5">
        <v>20.0</v>
      </c>
      <c r="E29" s="5">
        <f>SUM(C29:D29)</f>
        <v>83.0</v>
      </c>
    </row>
    <row r="30" spans="8:8">
      <c r="A30" s="11">
        <v>26.0</v>
      </c>
      <c r="B30" s="11" t="s">
        <v>108</v>
      </c>
      <c r="C30" s="12">
        <v>84.0</v>
      </c>
      <c r="D30" s="12">
        <v>29.0</v>
      </c>
      <c r="E30" s="12">
        <f>SUM(C30:D30)</f>
        <v>113.0</v>
      </c>
    </row>
    <row r="31" spans="8:8">
      <c r="A31" s="4">
        <v>27.0</v>
      </c>
      <c r="B31" s="4" t="s">
        <v>109</v>
      </c>
      <c r="C31" s="5">
        <v>75.0</v>
      </c>
      <c r="D31" s="5">
        <v>31.0</v>
      </c>
      <c r="E31" s="5">
        <f>SUM(C31:D31)</f>
        <v>106.0</v>
      </c>
    </row>
    <row r="32" spans="8:8">
      <c r="A32" s="11">
        <v>28.0</v>
      </c>
      <c r="B32" s="11" t="s">
        <v>110</v>
      </c>
      <c r="C32" s="12">
        <v>39.0</v>
      </c>
      <c r="D32" s="12">
        <v>27.0</v>
      </c>
      <c r="E32" s="12">
        <f>SUM(C32:D32)</f>
        <v>66.0</v>
      </c>
    </row>
    <row r="33" spans="8:8">
      <c r="A33" s="4">
        <v>29.0</v>
      </c>
      <c r="B33" s="4" t="s">
        <v>111</v>
      </c>
      <c r="C33" s="5">
        <v>76.0</v>
      </c>
      <c r="D33" s="5">
        <v>30.0</v>
      </c>
      <c r="E33" s="5">
        <f>SUM(C33:D33)</f>
        <v>106.0</v>
      </c>
    </row>
    <row r="34" spans="8:8">
      <c r="A34" s="11">
        <v>30.0</v>
      </c>
      <c r="B34" s="11" t="s">
        <v>112</v>
      </c>
      <c r="C34" s="12">
        <v>81.0</v>
      </c>
      <c r="D34" s="12">
        <v>21.0</v>
      </c>
      <c r="E34" s="12">
        <f>SUM(C34:D34)</f>
        <v>102.0</v>
      </c>
    </row>
    <row r="35" spans="8:8">
      <c r="A35" s="4">
        <v>31.0</v>
      </c>
      <c r="B35" s="4" t="s">
        <v>113</v>
      </c>
      <c r="C35" s="5">
        <v>58.0</v>
      </c>
      <c r="D35" s="5">
        <v>26.0</v>
      </c>
      <c r="E35" s="5">
        <f>SUM(C35:D35)</f>
        <v>84.0</v>
      </c>
    </row>
    <row r="36" spans="8:8">
      <c r="A36" s="7"/>
      <c r="B36" s="7" t="s">
        <v>11</v>
      </c>
      <c r="C36" s="8">
        <f>SUM(C5:C35)</f>
        <v>2241.0</v>
      </c>
      <c r="D36" s="8">
        <f>SUM(D5:D35)</f>
        <v>836.0</v>
      </c>
      <c r="E36" s="8">
        <f>SUM(E5:E35)</f>
        <v>3077.0</v>
      </c>
    </row>
    <row r="37" spans="8:8">
      <c r="A37" s="4"/>
      <c r="B37" s="4" t="s">
        <v>50</v>
      </c>
      <c r="C37" s="10">
        <f>AVERAGE(C5:C35)</f>
        <v>72.29032258064517</v>
      </c>
      <c r="D37" s="10">
        <f>AVERAGE(D5:D35)</f>
        <v>26.967741935483872</v>
      </c>
      <c r="E37" s="10">
        <f>AVERAGE(E5:E35)</f>
        <v>99.25806451612904</v>
      </c>
    </row>
  </sheetData>
  <pageMargins left="0.75" right="0.75" top="1.0" bottom="1.0" header="0.5" footer="0.5"/>
</worksheet>
</file>

<file path=xl/worksheets/sheet5.xml><?xml version="1.0" encoding="utf-8"?>
<worksheet xmlns:r="http://schemas.openxmlformats.org/officeDocument/2006/relationships" xmlns="http://schemas.openxmlformats.org/spreadsheetml/2006/main">
  <dimension ref="A1:G97"/>
  <sheetViews>
    <sheetView workbookViewId="0">
      <selection activeCell="A1" sqref="A1"/>
    </sheetView>
  </sheetViews>
  <sheetFormatPr defaultRowHeight="15.0" defaultColWidth="10"/>
  <cols>
    <col min="1" max="1" customWidth="1" width="12.0" style="0"/>
    <col min="2" max="2" customWidth="1" width="12.0" style="0"/>
    <col min="3" max="3" customWidth="1" width="12.0" style="0"/>
    <col min="4" max="4" customWidth="1" width="23.0" style="0"/>
    <col min="5" max="5" customWidth="1" width="23.0" style="0"/>
    <col min="6" max="6" customWidth="1" width="23.0" style="0"/>
  </cols>
  <sheetData>
    <row r="1" spans="8:8">
      <c r="A1" s="1" t="s">
        <v>51</v>
      </c>
    </row>
    <row r="2" spans="8:8">
      <c r="A2" s="2" t="s">
        <v>52</v>
      </c>
    </row>
    <row r="4" spans="8:8">
      <c r="A4" s="3" t="s">
        <v>16</v>
      </c>
      <c r="B4" s="3" t="s">
        <v>2</v>
      </c>
      <c r="C4" s="3" t="s">
        <v>17</v>
      </c>
      <c r="D4" s="3" t="s">
        <v>3</v>
      </c>
      <c r="E4" s="3" t="s">
        <v>4</v>
      </c>
      <c r="F4" s="3" t="s">
        <v>18</v>
      </c>
    </row>
    <row r="5" spans="8:8">
      <c r="A5" s="4">
        <v>1.0</v>
      </c>
      <c r="B5" s="4" t="s">
        <v>8</v>
      </c>
      <c r="C5" s="4" t="s">
        <v>19</v>
      </c>
      <c r="D5" s="5">
        <v>60.0</v>
      </c>
      <c r="E5" s="5">
        <v>32.0</v>
      </c>
      <c r="F5" s="5">
        <f>SUM(D5:E5)</f>
        <v>92.0</v>
      </c>
    </row>
    <row r="6" spans="8:8">
      <c r="A6" s="11">
        <v>2.0</v>
      </c>
      <c r="B6" s="11" t="s">
        <v>8</v>
      </c>
      <c r="C6" s="11" t="s">
        <v>20</v>
      </c>
      <c r="D6" s="12">
        <v>54.0</v>
      </c>
      <c r="E6" s="12">
        <v>29.0</v>
      </c>
      <c r="F6" s="12">
        <f>SUM(D6:E6)</f>
        <v>83.0</v>
      </c>
    </row>
    <row r="7" spans="8:8">
      <c r="A7" s="4">
        <v>3.0</v>
      </c>
      <c r="B7" s="4" t="s">
        <v>8</v>
      </c>
      <c r="C7" s="4" t="s">
        <v>21</v>
      </c>
      <c r="D7" s="5">
        <v>61.0</v>
      </c>
      <c r="E7" s="5">
        <v>26.0</v>
      </c>
      <c r="F7" s="5">
        <f>SUM(D7:E7)</f>
        <v>87.0</v>
      </c>
    </row>
    <row r="8" spans="8:8">
      <c r="A8" s="11">
        <v>4.0</v>
      </c>
      <c r="B8" s="11" t="s">
        <v>8</v>
      </c>
      <c r="C8" s="11" t="s">
        <v>22</v>
      </c>
      <c r="D8" s="12">
        <v>70.0</v>
      </c>
      <c r="E8" s="12">
        <v>22.0</v>
      </c>
      <c r="F8" s="12">
        <f>SUM(D8:E8)</f>
        <v>92.0</v>
      </c>
    </row>
    <row r="9" spans="8:8">
      <c r="A9" s="4">
        <v>5.0</v>
      </c>
      <c r="B9" s="4" t="s">
        <v>8</v>
      </c>
      <c r="C9" s="4" t="s">
        <v>23</v>
      </c>
      <c r="D9" s="5">
        <v>53.0</v>
      </c>
      <c r="E9" s="5">
        <v>19.0</v>
      </c>
      <c r="F9" s="5">
        <f>SUM(D9:E9)</f>
        <v>72.0</v>
      </c>
    </row>
    <row r="10" spans="8:8">
      <c r="A10" s="11">
        <v>6.0</v>
      </c>
      <c r="B10" s="11" t="s">
        <v>8</v>
      </c>
      <c r="C10" s="11" t="s">
        <v>24</v>
      </c>
      <c r="D10" s="12">
        <v>53.0</v>
      </c>
      <c r="E10" s="12">
        <v>26.0</v>
      </c>
      <c r="F10" s="12">
        <f>SUM(D10:E10)</f>
        <v>79.0</v>
      </c>
    </row>
    <row r="11" spans="8:8">
      <c r="A11" s="4">
        <v>7.0</v>
      </c>
      <c r="B11" s="4" t="s">
        <v>8</v>
      </c>
      <c r="C11" s="4" t="s">
        <v>25</v>
      </c>
      <c r="D11" s="5">
        <v>72.0</v>
      </c>
      <c r="E11" s="5">
        <v>21.0</v>
      </c>
      <c r="F11" s="5">
        <f>SUM(D11:E11)</f>
        <v>93.0</v>
      </c>
    </row>
    <row r="12" spans="8:8">
      <c r="A12" s="11">
        <v>8.0</v>
      </c>
      <c r="B12" s="11" t="s">
        <v>8</v>
      </c>
      <c r="C12" s="11" t="s">
        <v>26</v>
      </c>
      <c r="D12" s="12">
        <v>63.0</v>
      </c>
      <c r="E12" s="12">
        <v>18.0</v>
      </c>
      <c r="F12" s="12">
        <f>SUM(D12:E12)</f>
        <v>81.0</v>
      </c>
    </row>
    <row r="13" spans="8:8">
      <c r="A13" s="4">
        <v>9.0</v>
      </c>
      <c r="B13" s="4" t="s">
        <v>8</v>
      </c>
      <c r="C13" s="4" t="s">
        <v>27</v>
      </c>
      <c r="D13" s="5">
        <v>50.0</v>
      </c>
      <c r="E13" s="5">
        <v>22.0</v>
      </c>
      <c r="F13" s="5">
        <f>SUM(D13:E13)</f>
        <v>72.0</v>
      </c>
    </row>
    <row r="14" spans="8:8">
      <c r="A14" s="11">
        <v>10.0</v>
      </c>
      <c r="B14" s="11" t="s">
        <v>8</v>
      </c>
      <c r="C14" s="11" t="s">
        <v>28</v>
      </c>
      <c r="D14" s="12">
        <v>60.0</v>
      </c>
      <c r="E14" s="12">
        <v>22.0</v>
      </c>
      <c r="F14" s="12">
        <f>SUM(D14:E14)</f>
        <v>82.0</v>
      </c>
    </row>
    <row r="15" spans="8:8">
      <c r="A15" s="4">
        <v>11.0</v>
      </c>
      <c r="B15" s="4" t="s">
        <v>8</v>
      </c>
      <c r="C15" s="4" t="s">
        <v>29</v>
      </c>
      <c r="D15" s="5">
        <v>50.0</v>
      </c>
      <c r="E15" s="5">
        <v>25.0</v>
      </c>
      <c r="F15" s="5">
        <f>SUM(D15:E15)</f>
        <v>75.0</v>
      </c>
    </row>
    <row r="16" spans="8:8">
      <c r="A16" s="11">
        <v>12.0</v>
      </c>
      <c r="B16" s="11" t="s">
        <v>8</v>
      </c>
      <c r="C16" s="11" t="s">
        <v>30</v>
      </c>
      <c r="D16" s="12">
        <v>50.0</v>
      </c>
      <c r="E16" s="12">
        <v>23.0</v>
      </c>
      <c r="F16" s="12">
        <f>SUM(D16:E16)</f>
        <v>73.0</v>
      </c>
    </row>
    <row r="17" spans="8:8">
      <c r="A17" s="4">
        <v>13.0</v>
      </c>
      <c r="B17" s="4" t="s">
        <v>8</v>
      </c>
      <c r="C17" s="4" t="s">
        <v>31</v>
      </c>
      <c r="D17" s="5">
        <v>57.0</v>
      </c>
      <c r="E17" s="5">
        <v>29.0</v>
      </c>
      <c r="F17" s="5">
        <f>SUM(D17:E17)</f>
        <v>86.0</v>
      </c>
    </row>
    <row r="18" spans="8:8">
      <c r="A18" s="11">
        <v>14.0</v>
      </c>
      <c r="B18" s="11" t="s">
        <v>8</v>
      </c>
      <c r="C18" s="11" t="s">
        <v>32</v>
      </c>
      <c r="D18" s="12">
        <v>36.0</v>
      </c>
      <c r="E18" s="12">
        <v>27.0</v>
      </c>
      <c r="F18" s="12">
        <f>SUM(D18:E18)</f>
        <v>63.0</v>
      </c>
    </row>
    <row r="19" spans="8:8">
      <c r="A19" s="4">
        <v>15.0</v>
      </c>
      <c r="B19" s="4" t="s">
        <v>8</v>
      </c>
      <c r="C19" s="4" t="s">
        <v>33</v>
      </c>
      <c r="D19" s="5">
        <v>38.0</v>
      </c>
      <c r="E19" s="5">
        <v>23.0</v>
      </c>
      <c r="F19" s="5">
        <f>SUM(D19:E19)</f>
        <v>61.0</v>
      </c>
    </row>
    <row r="20" spans="8:8">
      <c r="A20" s="11">
        <v>16.0</v>
      </c>
      <c r="B20" s="11" t="s">
        <v>8</v>
      </c>
      <c r="C20" s="11" t="s">
        <v>34</v>
      </c>
      <c r="D20" s="12">
        <v>49.0</v>
      </c>
      <c r="E20" s="12">
        <v>20.0</v>
      </c>
      <c r="F20" s="12">
        <f>SUM(D20:E20)</f>
        <v>69.0</v>
      </c>
    </row>
    <row r="21" spans="8:8">
      <c r="A21" s="4">
        <v>17.0</v>
      </c>
      <c r="B21" s="4" t="s">
        <v>8</v>
      </c>
      <c r="C21" s="4" t="s">
        <v>35</v>
      </c>
      <c r="D21" s="5">
        <v>45.0</v>
      </c>
      <c r="E21" s="5">
        <v>29.0</v>
      </c>
      <c r="F21" s="5">
        <f>SUM(D21:E21)</f>
        <v>74.0</v>
      </c>
    </row>
    <row r="22" spans="8:8">
      <c r="A22" s="11">
        <v>18.0</v>
      </c>
      <c r="B22" s="11" t="s">
        <v>8</v>
      </c>
      <c r="C22" s="11" t="s">
        <v>36</v>
      </c>
      <c r="D22" s="12">
        <v>58.0</v>
      </c>
      <c r="E22" s="12">
        <v>27.0</v>
      </c>
      <c r="F22" s="12">
        <f>SUM(D22:E22)</f>
        <v>85.0</v>
      </c>
    </row>
    <row r="23" spans="8:8">
      <c r="A23" s="4">
        <v>19.0</v>
      </c>
      <c r="B23" s="4" t="s">
        <v>8</v>
      </c>
      <c r="C23" s="4" t="s">
        <v>37</v>
      </c>
      <c r="D23" s="5">
        <v>46.0</v>
      </c>
      <c r="E23" s="5">
        <v>36.0</v>
      </c>
      <c r="F23" s="5">
        <f>SUM(D23:E23)</f>
        <v>82.0</v>
      </c>
    </row>
    <row r="24" spans="8:8">
      <c r="A24" s="11">
        <v>20.0</v>
      </c>
      <c r="B24" s="11" t="s">
        <v>8</v>
      </c>
      <c r="C24" s="11" t="s">
        <v>38</v>
      </c>
      <c r="D24" s="12">
        <v>41.0</v>
      </c>
      <c r="E24" s="12">
        <v>25.0</v>
      </c>
      <c r="F24" s="12">
        <f>SUM(D24:E24)</f>
        <v>66.0</v>
      </c>
    </row>
    <row r="25" spans="8:8">
      <c r="A25" s="4">
        <v>21.0</v>
      </c>
      <c r="B25" s="4" t="s">
        <v>8</v>
      </c>
      <c r="C25" s="4" t="s">
        <v>39</v>
      </c>
      <c r="D25" s="5">
        <v>70.0</v>
      </c>
      <c r="E25" s="5">
        <v>31.0</v>
      </c>
      <c r="F25" s="5">
        <f>SUM(D25:E25)</f>
        <v>101.0</v>
      </c>
    </row>
    <row r="26" spans="8:8">
      <c r="A26" s="11">
        <v>22.0</v>
      </c>
      <c r="B26" s="11" t="s">
        <v>8</v>
      </c>
      <c r="C26" s="11" t="s">
        <v>40</v>
      </c>
      <c r="D26" s="12">
        <v>53.0</v>
      </c>
      <c r="E26" s="12">
        <v>26.0</v>
      </c>
      <c r="F26" s="12">
        <f>SUM(D26:E26)</f>
        <v>79.0</v>
      </c>
    </row>
    <row r="27" spans="8:8">
      <c r="A27" s="4">
        <v>23.0</v>
      </c>
      <c r="B27" s="4" t="s">
        <v>8</v>
      </c>
      <c r="C27" s="4" t="s">
        <v>41</v>
      </c>
      <c r="D27" s="5">
        <v>56.0</v>
      </c>
      <c r="E27" s="5">
        <v>24.0</v>
      </c>
      <c r="F27" s="5">
        <f>SUM(D27:E27)</f>
        <v>80.0</v>
      </c>
    </row>
    <row r="28" spans="8:8">
      <c r="A28" s="11">
        <v>24.0</v>
      </c>
      <c r="B28" s="11" t="s">
        <v>8</v>
      </c>
      <c r="C28" s="11" t="s">
        <v>42</v>
      </c>
      <c r="D28" s="12">
        <v>41.0</v>
      </c>
      <c r="E28" s="12">
        <v>17.0</v>
      </c>
      <c r="F28" s="12">
        <f>SUM(D28:E28)</f>
        <v>58.0</v>
      </c>
    </row>
    <row r="29" spans="8:8">
      <c r="A29" s="4">
        <v>25.0</v>
      </c>
      <c r="B29" s="4" t="s">
        <v>8</v>
      </c>
      <c r="C29" s="4" t="s">
        <v>43</v>
      </c>
      <c r="D29" s="5">
        <v>50.0</v>
      </c>
      <c r="E29" s="5">
        <v>27.0</v>
      </c>
      <c r="F29" s="5">
        <f>SUM(D29:E29)</f>
        <v>77.0</v>
      </c>
    </row>
    <row r="30" spans="8:8">
      <c r="A30" s="11">
        <v>26.0</v>
      </c>
      <c r="B30" s="11" t="s">
        <v>8</v>
      </c>
      <c r="C30" s="11" t="s">
        <v>44</v>
      </c>
      <c r="D30" s="12">
        <v>56.0</v>
      </c>
      <c r="E30" s="12">
        <v>20.0</v>
      </c>
      <c r="F30" s="12">
        <f>SUM(D30:E30)</f>
        <v>76.0</v>
      </c>
    </row>
    <row r="31" spans="8:8">
      <c r="A31" s="4">
        <v>27.0</v>
      </c>
      <c r="B31" s="4" t="s">
        <v>8</v>
      </c>
      <c r="C31" s="4" t="s">
        <v>45</v>
      </c>
      <c r="D31" s="5">
        <v>44.0</v>
      </c>
      <c r="E31" s="5">
        <v>22.0</v>
      </c>
      <c r="F31" s="5">
        <f>SUM(D31:E31)</f>
        <v>66.0</v>
      </c>
    </row>
    <row r="32" spans="8:8">
      <c r="A32" s="11">
        <v>28.0</v>
      </c>
      <c r="B32" s="11" t="s">
        <v>8</v>
      </c>
      <c r="C32" s="11" t="s">
        <v>46</v>
      </c>
      <c r="D32" s="12">
        <v>59.0</v>
      </c>
      <c r="E32" s="12">
        <v>24.0</v>
      </c>
      <c r="F32" s="12">
        <f>SUM(D32:E32)</f>
        <v>83.0</v>
      </c>
    </row>
    <row r="33" spans="8:8">
      <c r="A33" s="4">
        <v>29.0</v>
      </c>
      <c r="B33" s="4" t="s">
        <v>8</v>
      </c>
      <c r="C33" s="4" t="s">
        <v>47</v>
      </c>
      <c r="D33" s="5">
        <v>49.0</v>
      </c>
      <c r="E33" s="5">
        <v>23.0</v>
      </c>
      <c r="F33" s="5">
        <f>SUM(D33:E33)</f>
        <v>72.0</v>
      </c>
    </row>
    <row r="34" spans="8:8">
      <c r="A34" s="11">
        <v>30.0</v>
      </c>
      <c r="B34" s="11" t="s">
        <v>8</v>
      </c>
      <c r="C34" s="11" t="s">
        <v>48</v>
      </c>
      <c r="D34" s="12">
        <v>52.0</v>
      </c>
      <c r="E34" s="12">
        <v>17.0</v>
      </c>
      <c r="F34" s="12">
        <f>SUM(D34:E34)</f>
        <v>69.0</v>
      </c>
    </row>
    <row r="35" spans="8:8">
      <c r="A35" s="4">
        <v>31.0</v>
      </c>
      <c r="B35" s="4" t="s">
        <v>8</v>
      </c>
      <c r="C35" s="4" t="s">
        <v>49</v>
      </c>
      <c r="D35" s="5">
        <v>49.0</v>
      </c>
      <c r="E35" s="5">
        <v>22.0</v>
      </c>
      <c r="F35" s="5">
        <f>SUM(D35:E35)</f>
        <v>71.0</v>
      </c>
    </row>
    <row r="36" spans="8:8">
      <c r="A36" s="11">
        <v>32.0</v>
      </c>
      <c r="B36" s="11" t="s">
        <v>9</v>
      </c>
      <c r="C36" s="11" t="s">
        <v>53</v>
      </c>
      <c r="D36" s="12">
        <v>84.0</v>
      </c>
      <c r="E36" s="12">
        <v>21.0</v>
      </c>
      <c r="F36" s="12">
        <f>SUM(D36:E36)</f>
        <v>105.0</v>
      </c>
    </row>
    <row r="37" spans="8:8">
      <c r="A37" s="4">
        <v>33.0</v>
      </c>
      <c r="B37" s="4" t="s">
        <v>9</v>
      </c>
      <c r="C37" s="4" t="s">
        <v>54</v>
      </c>
      <c r="D37" s="5">
        <v>82.0</v>
      </c>
      <c r="E37" s="5">
        <v>23.0</v>
      </c>
      <c r="F37" s="5">
        <f>SUM(D37:E37)</f>
        <v>105.0</v>
      </c>
    </row>
    <row r="38" spans="8:8">
      <c r="A38" s="11">
        <v>34.0</v>
      </c>
      <c r="B38" s="11" t="s">
        <v>9</v>
      </c>
      <c r="C38" s="11" t="s">
        <v>55</v>
      </c>
      <c r="D38" s="12">
        <v>60.0</v>
      </c>
      <c r="E38" s="12">
        <v>29.0</v>
      </c>
      <c r="F38" s="12">
        <f>SUM(D38:E38)</f>
        <v>89.0</v>
      </c>
    </row>
    <row r="39" spans="8:8">
      <c r="A39" s="4">
        <v>35.0</v>
      </c>
      <c r="B39" s="4" t="s">
        <v>9</v>
      </c>
      <c r="C39" s="4" t="s">
        <v>56</v>
      </c>
      <c r="D39" s="5">
        <v>67.0</v>
      </c>
      <c r="E39" s="5">
        <v>26.0</v>
      </c>
      <c r="F39" s="5">
        <f>SUM(D39:E39)</f>
        <v>93.0</v>
      </c>
    </row>
    <row r="40" spans="8:8">
      <c r="A40" s="11">
        <v>36.0</v>
      </c>
      <c r="B40" s="11" t="s">
        <v>9</v>
      </c>
      <c r="C40" s="11" t="s">
        <v>57</v>
      </c>
      <c r="D40" s="12">
        <v>75.0</v>
      </c>
      <c r="E40" s="12">
        <v>22.0</v>
      </c>
      <c r="F40" s="12">
        <f>SUM(D40:E40)</f>
        <v>97.0</v>
      </c>
    </row>
    <row r="41" spans="8:8">
      <c r="A41" s="4">
        <v>37.0</v>
      </c>
      <c r="B41" s="4" t="s">
        <v>9</v>
      </c>
      <c r="C41" s="4" t="s">
        <v>58</v>
      </c>
      <c r="D41" s="5">
        <v>83.0</v>
      </c>
      <c r="E41" s="5">
        <v>27.0</v>
      </c>
      <c r="F41" s="5">
        <f>SUM(D41:E41)</f>
        <v>110.0</v>
      </c>
    </row>
    <row r="42" spans="8:8">
      <c r="A42" s="11">
        <v>38.0</v>
      </c>
      <c r="B42" s="11" t="s">
        <v>9</v>
      </c>
      <c r="C42" s="11" t="s">
        <v>59</v>
      </c>
      <c r="D42" s="12">
        <v>64.0</v>
      </c>
      <c r="E42" s="12">
        <v>25.0</v>
      </c>
      <c r="F42" s="12">
        <f>SUM(D42:E42)</f>
        <v>89.0</v>
      </c>
    </row>
    <row r="43" spans="8:8">
      <c r="A43" s="4">
        <v>39.0</v>
      </c>
      <c r="B43" s="4" t="s">
        <v>9</v>
      </c>
      <c r="C43" s="4" t="s">
        <v>60</v>
      </c>
      <c r="D43" s="5">
        <v>68.0</v>
      </c>
      <c r="E43" s="5">
        <v>29.0</v>
      </c>
      <c r="F43" s="5">
        <f>SUM(D43:E43)</f>
        <v>97.0</v>
      </c>
    </row>
    <row r="44" spans="8:8">
      <c r="A44" s="11">
        <v>40.0</v>
      </c>
      <c r="B44" s="11" t="s">
        <v>9</v>
      </c>
      <c r="C44" s="11" t="s">
        <v>61</v>
      </c>
      <c r="D44" s="12">
        <v>56.0</v>
      </c>
      <c r="E44" s="12">
        <v>22.0</v>
      </c>
      <c r="F44" s="12">
        <f>SUM(D44:E44)</f>
        <v>78.0</v>
      </c>
    </row>
    <row r="45" spans="8:8">
      <c r="A45" s="4">
        <v>41.0</v>
      </c>
      <c r="B45" s="4" t="s">
        <v>9</v>
      </c>
      <c r="C45" s="4" t="s">
        <v>62</v>
      </c>
      <c r="D45" s="5">
        <v>55.0</v>
      </c>
      <c r="E45" s="5">
        <v>23.0</v>
      </c>
      <c r="F45" s="5">
        <f>SUM(D45:E45)</f>
        <v>78.0</v>
      </c>
    </row>
    <row r="46" spans="8:8">
      <c r="A46" s="11">
        <v>42.0</v>
      </c>
      <c r="B46" s="11" t="s">
        <v>9</v>
      </c>
      <c r="C46" s="11" t="s">
        <v>63</v>
      </c>
      <c r="D46" s="12">
        <v>81.0</v>
      </c>
      <c r="E46" s="12">
        <v>23.0</v>
      </c>
      <c r="F46" s="12">
        <f>SUM(D46:E46)</f>
        <v>104.0</v>
      </c>
    </row>
    <row r="47" spans="8:8">
      <c r="A47" s="4">
        <v>43.0</v>
      </c>
      <c r="B47" s="4" t="s">
        <v>9</v>
      </c>
      <c r="C47" s="4" t="s">
        <v>64</v>
      </c>
      <c r="D47" s="5">
        <v>88.0</v>
      </c>
      <c r="E47" s="5">
        <v>18.0</v>
      </c>
      <c r="F47" s="5">
        <f>SUM(D47:E47)</f>
        <v>106.0</v>
      </c>
    </row>
    <row r="48" spans="8:8">
      <c r="A48" s="11">
        <v>44.0</v>
      </c>
      <c r="B48" s="11" t="s">
        <v>9</v>
      </c>
      <c r="C48" s="11" t="s">
        <v>65</v>
      </c>
      <c r="D48" s="12">
        <v>70.0</v>
      </c>
      <c r="E48" s="12">
        <v>26.0</v>
      </c>
      <c r="F48" s="12">
        <f>SUM(D48:E48)</f>
        <v>96.0</v>
      </c>
    </row>
    <row r="49" spans="8:8">
      <c r="A49" s="4">
        <v>45.0</v>
      </c>
      <c r="B49" s="4" t="s">
        <v>9</v>
      </c>
      <c r="C49" s="4" t="s">
        <v>66</v>
      </c>
      <c r="D49" s="5">
        <v>83.0</v>
      </c>
      <c r="E49" s="5">
        <v>26.0</v>
      </c>
      <c r="F49" s="5">
        <f>SUM(D49:E49)</f>
        <v>109.0</v>
      </c>
    </row>
    <row r="50" spans="8:8">
      <c r="A50" s="11">
        <v>46.0</v>
      </c>
      <c r="B50" s="11" t="s">
        <v>9</v>
      </c>
      <c r="C50" s="11" t="s">
        <v>67</v>
      </c>
      <c r="D50" s="12">
        <v>75.0</v>
      </c>
      <c r="E50" s="12">
        <v>25.0</v>
      </c>
      <c r="F50" s="12">
        <f>SUM(D50:E50)</f>
        <v>100.0</v>
      </c>
    </row>
    <row r="51" spans="8:8">
      <c r="A51" s="4">
        <v>47.0</v>
      </c>
      <c r="B51" s="4" t="s">
        <v>9</v>
      </c>
      <c r="C51" s="4" t="s">
        <v>68</v>
      </c>
      <c r="D51" s="5">
        <v>62.0</v>
      </c>
      <c r="E51" s="5">
        <v>24.0</v>
      </c>
      <c r="F51" s="5">
        <f>SUM(D51:E51)</f>
        <v>86.0</v>
      </c>
    </row>
    <row r="52" spans="8:8">
      <c r="A52" s="11">
        <v>48.0</v>
      </c>
      <c r="B52" s="11" t="s">
        <v>9</v>
      </c>
      <c r="C52" s="11" t="s">
        <v>69</v>
      </c>
      <c r="D52" s="12">
        <v>75.0</v>
      </c>
      <c r="E52" s="12">
        <v>19.0</v>
      </c>
      <c r="F52" s="12">
        <f>SUM(D52:E52)</f>
        <v>94.0</v>
      </c>
    </row>
    <row r="53" spans="8:8">
      <c r="A53" s="4">
        <v>49.0</v>
      </c>
      <c r="B53" s="4" t="s">
        <v>9</v>
      </c>
      <c r="C53" s="4" t="s">
        <v>70</v>
      </c>
      <c r="D53" s="5">
        <v>90.0</v>
      </c>
      <c r="E53" s="5">
        <v>23.0</v>
      </c>
      <c r="F53" s="5">
        <f>SUM(D53:E53)</f>
        <v>113.0</v>
      </c>
    </row>
    <row r="54" spans="8:8">
      <c r="A54" s="11">
        <v>50.0</v>
      </c>
      <c r="B54" s="11" t="s">
        <v>9</v>
      </c>
      <c r="C54" s="11" t="s">
        <v>71</v>
      </c>
      <c r="D54" s="12">
        <v>70.0</v>
      </c>
      <c r="E54" s="12">
        <v>23.0</v>
      </c>
      <c r="F54" s="12">
        <f>SUM(D54:E54)</f>
        <v>93.0</v>
      </c>
    </row>
    <row r="55" spans="8:8">
      <c r="A55" s="4">
        <v>51.0</v>
      </c>
      <c r="B55" s="4" t="s">
        <v>9</v>
      </c>
      <c r="C55" s="4" t="s">
        <v>72</v>
      </c>
      <c r="D55" s="5">
        <v>90.0</v>
      </c>
      <c r="E55" s="5">
        <v>21.0</v>
      </c>
      <c r="F55" s="5">
        <f>SUM(D55:E55)</f>
        <v>111.0</v>
      </c>
    </row>
    <row r="56" spans="8:8">
      <c r="A56" s="11">
        <v>52.0</v>
      </c>
      <c r="B56" s="11" t="s">
        <v>9</v>
      </c>
      <c r="C56" s="11" t="s">
        <v>73</v>
      </c>
      <c r="D56" s="12">
        <v>37.0</v>
      </c>
      <c r="E56" s="12">
        <v>24.0</v>
      </c>
      <c r="F56" s="12">
        <f>SUM(D56:E56)</f>
        <v>61.0</v>
      </c>
    </row>
    <row r="57" spans="8:8">
      <c r="A57" s="4">
        <v>53.0</v>
      </c>
      <c r="B57" s="4" t="s">
        <v>9</v>
      </c>
      <c r="C57" s="4" t="s">
        <v>74</v>
      </c>
      <c r="D57" s="5">
        <v>81.0</v>
      </c>
      <c r="E57" s="5">
        <v>28.0</v>
      </c>
      <c r="F57" s="5">
        <f>SUM(D57:E57)</f>
        <v>109.0</v>
      </c>
    </row>
    <row r="58" spans="8:8">
      <c r="A58" s="11">
        <v>54.0</v>
      </c>
      <c r="B58" s="11" t="s">
        <v>9</v>
      </c>
      <c r="C58" s="11" t="s">
        <v>75</v>
      </c>
      <c r="D58" s="12">
        <v>72.0</v>
      </c>
      <c r="E58" s="12">
        <v>33.0</v>
      </c>
      <c r="F58" s="12">
        <f>SUM(D58:E58)</f>
        <v>105.0</v>
      </c>
    </row>
    <row r="59" spans="8:8">
      <c r="A59" s="4">
        <v>55.0</v>
      </c>
      <c r="B59" s="4" t="s">
        <v>9</v>
      </c>
      <c r="C59" s="4" t="s">
        <v>76</v>
      </c>
      <c r="D59" s="5">
        <v>67.0</v>
      </c>
      <c r="E59" s="5">
        <v>26.0</v>
      </c>
      <c r="F59" s="5">
        <f>SUM(D59:E59)</f>
        <v>93.0</v>
      </c>
    </row>
    <row r="60" spans="8:8">
      <c r="A60" s="11">
        <v>56.0</v>
      </c>
      <c r="B60" s="11" t="s">
        <v>9</v>
      </c>
      <c r="C60" s="11" t="s">
        <v>77</v>
      </c>
      <c r="D60" s="12">
        <v>72.0</v>
      </c>
      <c r="E60" s="12">
        <v>26.0</v>
      </c>
      <c r="F60" s="12">
        <f>SUM(D60:E60)</f>
        <v>98.0</v>
      </c>
    </row>
    <row r="61" spans="8:8">
      <c r="A61" s="4">
        <v>57.0</v>
      </c>
      <c r="B61" s="4" t="s">
        <v>9</v>
      </c>
      <c r="C61" s="4" t="s">
        <v>78</v>
      </c>
      <c r="D61" s="5">
        <v>45.0</v>
      </c>
      <c r="E61" s="5">
        <v>25.0</v>
      </c>
      <c r="F61" s="5">
        <f>SUM(D61:E61)</f>
        <v>70.0</v>
      </c>
    </row>
    <row r="62" spans="8:8">
      <c r="A62" s="11">
        <v>58.0</v>
      </c>
      <c r="B62" s="11" t="s">
        <v>9</v>
      </c>
      <c r="C62" s="11" t="s">
        <v>79</v>
      </c>
      <c r="D62" s="12">
        <v>68.0</v>
      </c>
      <c r="E62" s="12">
        <v>16.0</v>
      </c>
      <c r="F62" s="12">
        <f>SUM(D62:E62)</f>
        <v>84.0</v>
      </c>
    </row>
    <row r="63" spans="8:8">
      <c r="A63" s="4">
        <v>59.0</v>
      </c>
      <c r="B63" s="4" t="s">
        <v>9</v>
      </c>
      <c r="C63" s="4" t="s">
        <v>80</v>
      </c>
      <c r="D63" s="5">
        <v>75.0</v>
      </c>
      <c r="E63" s="5">
        <v>25.0</v>
      </c>
      <c r="F63" s="5">
        <f>SUM(D63:E63)</f>
        <v>100.0</v>
      </c>
    </row>
    <row r="64" spans="8:8">
      <c r="A64" s="11">
        <v>60.0</v>
      </c>
      <c r="B64" s="11" t="s">
        <v>9</v>
      </c>
      <c r="C64" s="11" t="s">
        <v>81</v>
      </c>
      <c r="D64" s="12">
        <v>89.0</v>
      </c>
      <c r="E64" s="12">
        <v>25.0</v>
      </c>
      <c r="F64" s="12">
        <f>SUM(D64:E64)</f>
        <v>114.0</v>
      </c>
    </row>
    <row r="65" spans="8:8">
      <c r="A65" s="4">
        <v>61.0</v>
      </c>
      <c r="B65" s="4" t="s">
        <v>9</v>
      </c>
      <c r="C65" s="4" t="s">
        <v>82</v>
      </c>
      <c r="D65" s="5">
        <v>64.0</v>
      </c>
      <c r="E65" s="5">
        <v>36.0</v>
      </c>
      <c r="F65" s="5">
        <f>SUM(D65:E65)</f>
        <v>100.0</v>
      </c>
    </row>
    <row r="66" spans="8:8">
      <c r="A66" s="11">
        <v>62.0</v>
      </c>
      <c r="B66" s="11" t="s">
        <v>10</v>
      </c>
      <c r="C66" s="11" t="s">
        <v>83</v>
      </c>
      <c r="D66" s="12">
        <v>69.0</v>
      </c>
      <c r="E66" s="12">
        <v>28.0</v>
      </c>
      <c r="F66" s="12">
        <f>SUM(D66:E66)</f>
        <v>97.0</v>
      </c>
    </row>
    <row r="67" spans="8:8">
      <c r="A67" s="4">
        <v>63.0</v>
      </c>
      <c r="B67" s="4" t="s">
        <v>10</v>
      </c>
      <c r="C67" s="4" t="s">
        <v>84</v>
      </c>
      <c r="D67" s="5">
        <v>67.0</v>
      </c>
      <c r="E67" s="5">
        <v>24.0</v>
      </c>
      <c r="F67" s="5">
        <f>SUM(D67:E67)</f>
        <v>91.0</v>
      </c>
    </row>
    <row r="68" spans="8:8">
      <c r="A68" s="11">
        <v>64.0</v>
      </c>
      <c r="B68" s="11" t="s">
        <v>10</v>
      </c>
      <c r="C68" s="11" t="s">
        <v>85</v>
      </c>
      <c r="D68" s="12">
        <v>88.0</v>
      </c>
      <c r="E68" s="12">
        <v>28.0</v>
      </c>
      <c r="F68" s="12">
        <f>SUM(D68:E68)</f>
        <v>116.0</v>
      </c>
    </row>
    <row r="69" spans="8:8">
      <c r="A69" s="4">
        <v>65.0</v>
      </c>
      <c r="B69" s="4" t="s">
        <v>10</v>
      </c>
      <c r="C69" s="4" t="s">
        <v>86</v>
      </c>
      <c r="D69" s="5">
        <v>83.0</v>
      </c>
      <c r="E69" s="5">
        <v>30.0</v>
      </c>
      <c r="F69" s="5">
        <f>SUM(D69:E69)</f>
        <v>113.0</v>
      </c>
    </row>
    <row r="70" spans="8:8">
      <c r="A70" s="11">
        <v>66.0</v>
      </c>
      <c r="B70" s="11" t="s">
        <v>10</v>
      </c>
      <c r="C70" s="11" t="s">
        <v>87</v>
      </c>
      <c r="D70" s="12">
        <v>38.0</v>
      </c>
      <c r="E70" s="12">
        <v>28.0</v>
      </c>
      <c r="F70" s="12">
        <f>SUM(D70:E70)</f>
        <v>66.0</v>
      </c>
    </row>
    <row r="71" spans="8:8">
      <c r="A71" s="4">
        <v>67.0</v>
      </c>
      <c r="B71" s="4" t="s">
        <v>10</v>
      </c>
      <c r="C71" s="4" t="s">
        <v>88</v>
      </c>
      <c r="D71" s="5">
        <v>88.0</v>
      </c>
      <c r="E71" s="5">
        <v>32.0</v>
      </c>
      <c r="F71" s="5">
        <f>SUM(D71:E71)</f>
        <v>120.0</v>
      </c>
    </row>
    <row r="72" spans="8:8">
      <c r="A72" s="11">
        <v>68.0</v>
      </c>
      <c r="B72" s="11" t="s">
        <v>10</v>
      </c>
      <c r="C72" s="11" t="s">
        <v>89</v>
      </c>
      <c r="D72" s="12">
        <v>97.0</v>
      </c>
      <c r="E72" s="12">
        <v>37.0</v>
      </c>
      <c r="F72" s="12">
        <f>SUM(D72:E72)</f>
        <v>134.0</v>
      </c>
    </row>
    <row r="73" spans="8:8">
      <c r="A73" s="4">
        <v>69.0</v>
      </c>
      <c r="B73" s="4" t="s">
        <v>10</v>
      </c>
      <c r="C73" s="4" t="s">
        <v>90</v>
      </c>
      <c r="D73" s="5">
        <v>85.0</v>
      </c>
      <c r="E73" s="5">
        <v>24.0</v>
      </c>
      <c r="F73" s="5">
        <f>SUM(D73:E73)</f>
        <v>109.0</v>
      </c>
    </row>
    <row r="74" spans="8:8">
      <c r="A74" s="11">
        <v>70.0</v>
      </c>
      <c r="B74" s="11" t="s">
        <v>10</v>
      </c>
      <c r="C74" s="11" t="s">
        <v>91</v>
      </c>
      <c r="D74" s="12">
        <v>67.0</v>
      </c>
      <c r="E74" s="12">
        <v>24.0</v>
      </c>
      <c r="F74" s="12">
        <f>SUM(D74:E74)</f>
        <v>91.0</v>
      </c>
    </row>
    <row r="75" spans="8:8">
      <c r="A75" s="4">
        <v>71.0</v>
      </c>
      <c r="B75" s="4" t="s">
        <v>10</v>
      </c>
      <c r="C75" s="4" t="s">
        <v>92</v>
      </c>
      <c r="D75" s="5">
        <v>61.0</v>
      </c>
      <c r="E75" s="5">
        <v>19.0</v>
      </c>
      <c r="F75" s="5">
        <f>SUM(D75:E75)</f>
        <v>80.0</v>
      </c>
    </row>
    <row r="76" spans="8:8">
      <c r="A76" s="11">
        <v>72.0</v>
      </c>
      <c r="B76" s="11" t="s">
        <v>10</v>
      </c>
      <c r="C76" s="11" t="s">
        <v>93</v>
      </c>
      <c r="D76" s="12">
        <v>79.0</v>
      </c>
      <c r="E76" s="12">
        <v>31.0</v>
      </c>
      <c r="F76" s="12">
        <f>SUM(D76:E76)</f>
        <v>110.0</v>
      </c>
    </row>
    <row r="77" spans="8:8">
      <c r="A77" s="4">
        <v>73.0</v>
      </c>
      <c r="B77" s="4" t="s">
        <v>10</v>
      </c>
      <c r="C77" s="4" t="s">
        <v>94</v>
      </c>
      <c r="D77" s="5">
        <v>62.0</v>
      </c>
      <c r="E77" s="5">
        <v>31.0</v>
      </c>
      <c r="F77" s="5">
        <f>SUM(D77:E77)</f>
        <v>93.0</v>
      </c>
    </row>
    <row r="78" spans="8:8">
      <c r="A78" s="11">
        <v>74.0</v>
      </c>
      <c r="B78" s="11" t="s">
        <v>10</v>
      </c>
      <c r="C78" s="11" t="s">
        <v>95</v>
      </c>
      <c r="D78" s="12">
        <v>74.0</v>
      </c>
      <c r="E78" s="12">
        <v>21.0</v>
      </c>
      <c r="F78" s="12">
        <f>SUM(D78:E78)</f>
        <v>95.0</v>
      </c>
    </row>
    <row r="79" spans="8:8">
      <c r="A79" s="4">
        <v>75.0</v>
      </c>
      <c r="B79" s="4" t="s">
        <v>10</v>
      </c>
      <c r="C79" s="4" t="s">
        <v>96</v>
      </c>
      <c r="D79" s="5">
        <v>70.0</v>
      </c>
      <c r="E79" s="5">
        <v>28.0</v>
      </c>
      <c r="F79" s="5">
        <f>SUM(D79:E79)</f>
        <v>98.0</v>
      </c>
    </row>
    <row r="80" spans="8:8">
      <c r="A80" s="11">
        <v>76.0</v>
      </c>
      <c r="B80" s="11" t="s">
        <v>10</v>
      </c>
      <c r="C80" s="11" t="s">
        <v>97</v>
      </c>
      <c r="D80" s="12">
        <v>85.0</v>
      </c>
      <c r="E80" s="12">
        <v>31.0</v>
      </c>
      <c r="F80" s="12">
        <f>SUM(D80:E80)</f>
        <v>116.0</v>
      </c>
    </row>
    <row r="81" spans="8:8">
      <c r="A81" s="4">
        <v>77.0</v>
      </c>
      <c r="B81" s="4" t="s">
        <v>10</v>
      </c>
      <c r="C81" s="4" t="s">
        <v>98</v>
      </c>
      <c r="D81" s="5">
        <v>65.0</v>
      </c>
      <c r="E81" s="5">
        <v>26.0</v>
      </c>
      <c r="F81" s="5">
        <f>SUM(D81:E81)</f>
        <v>91.0</v>
      </c>
    </row>
    <row r="82" spans="8:8">
      <c r="A82" s="11">
        <v>78.0</v>
      </c>
      <c r="B82" s="11" t="s">
        <v>10</v>
      </c>
      <c r="C82" s="11" t="s">
        <v>99</v>
      </c>
      <c r="D82" s="12">
        <v>64.0</v>
      </c>
      <c r="E82" s="12">
        <v>29.0</v>
      </c>
      <c r="F82" s="12">
        <f>SUM(D82:E82)</f>
        <v>93.0</v>
      </c>
    </row>
    <row r="83" spans="8:8">
      <c r="A83" s="4">
        <v>79.0</v>
      </c>
      <c r="B83" s="4" t="s">
        <v>10</v>
      </c>
      <c r="C83" s="4" t="s">
        <v>100</v>
      </c>
      <c r="D83" s="5">
        <v>75.0</v>
      </c>
      <c r="E83" s="5">
        <v>26.0</v>
      </c>
      <c r="F83" s="5">
        <f>SUM(D83:E83)</f>
        <v>101.0</v>
      </c>
    </row>
    <row r="84" spans="8:8">
      <c r="A84" s="11">
        <v>80.0</v>
      </c>
      <c r="B84" s="11" t="s">
        <v>10</v>
      </c>
      <c r="C84" s="11" t="s">
        <v>101</v>
      </c>
      <c r="D84" s="12">
        <v>94.0</v>
      </c>
      <c r="E84" s="12">
        <v>21.0</v>
      </c>
      <c r="F84" s="12">
        <f>SUM(D84:E84)</f>
        <v>115.0</v>
      </c>
    </row>
    <row r="85" spans="8:8">
      <c r="A85" s="4">
        <v>81.0</v>
      </c>
      <c r="B85" s="4" t="s">
        <v>10</v>
      </c>
      <c r="C85" s="4" t="s">
        <v>102</v>
      </c>
      <c r="D85" s="5">
        <v>71.0</v>
      </c>
      <c r="E85" s="5">
        <v>30.0</v>
      </c>
      <c r="F85" s="5">
        <f>SUM(D85:E85)</f>
        <v>101.0</v>
      </c>
    </row>
    <row r="86" spans="8:8">
      <c r="A86" s="11">
        <v>82.0</v>
      </c>
      <c r="B86" s="11" t="s">
        <v>10</v>
      </c>
      <c r="C86" s="11" t="s">
        <v>103</v>
      </c>
      <c r="D86" s="12">
        <v>65.0</v>
      </c>
      <c r="E86" s="12">
        <v>31.0</v>
      </c>
      <c r="F86" s="12">
        <f>SUM(D86:E86)</f>
        <v>96.0</v>
      </c>
    </row>
    <row r="87" spans="8:8">
      <c r="A87" s="4">
        <v>83.0</v>
      </c>
      <c r="B87" s="4" t="s">
        <v>10</v>
      </c>
      <c r="C87" s="4" t="s">
        <v>104</v>
      </c>
      <c r="D87" s="5">
        <v>81.0</v>
      </c>
      <c r="E87" s="5">
        <v>30.0</v>
      </c>
      <c r="F87" s="5">
        <f>SUM(D87:E87)</f>
        <v>111.0</v>
      </c>
    </row>
    <row r="88" spans="8:8">
      <c r="A88" s="11">
        <v>84.0</v>
      </c>
      <c r="B88" s="11" t="s">
        <v>10</v>
      </c>
      <c r="C88" s="11" t="s">
        <v>105</v>
      </c>
      <c r="D88" s="12">
        <v>79.0</v>
      </c>
      <c r="E88" s="12">
        <v>21.0</v>
      </c>
      <c r="F88" s="12">
        <f>SUM(D88:E88)</f>
        <v>100.0</v>
      </c>
    </row>
    <row r="89" spans="8:8">
      <c r="A89" s="4">
        <v>85.0</v>
      </c>
      <c r="B89" s="4" t="s">
        <v>10</v>
      </c>
      <c r="C89" s="4" t="s">
        <v>106</v>
      </c>
      <c r="D89" s="5">
        <v>58.0</v>
      </c>
      <c r="E89" s="5">
        <v>22.0</v>
      </c>
      <c r="F89" s="5">
        <f>SUM(D89:E89)</f>
        <v>80.0</v>
      </c>
    </row>
    <row r="90" spans="8:8">
      <c r="A90" s="11">
        <v>86.0</v>
      </c>
      <c r="B90" s="11" t="s">
        <v>10</v>
      </c>
      <c r="C90" s="11" t="s">
        <v>107</v>
      </c>
      <c r="D90" s="12">
        <v>63.0</v>
      </c>
      <c r="E90" s="12">
        <v>20.0</v>
      </c>
      <c r="F90" s="12">
        <f>SUM(D90:E90)</f>
        <v>83.0</v>
      </c>
    </row>
    <row r="91" spans="8:8">
      <c r="A91" s="4">
        <v>87.0</v>
      </c>
      <c r="B91" s="4" t="s">
        <v>10</v>
      </c>
      <c r="C91" s="4" t="s">
        <v>108</v>
      </c>
      <c r="D91" s="5">
        <v>84.0</v>
      </c>
      <c r="E91" s="5">
        <v>29.0</v>
      </c>
      <c r="F91" s="5">
        <f>SUM(D91:E91)</f>
        <v>113.0</v>
      </c>
    </row>
    <row r="92" spans="8:8">
      <c r="A92" s="11">
        <v>88.0</v>
      </c>
      <c r="B92" s="11" t="s">
        <v>10</v>
      </c>
      <c r="C92" s="11" t="s">
        <v>109</v>
      </c>
      <c r="D92" s="12">
        <v>75.0</v>
      </c>
      <c r="E92" s="12">
        <v>31.0</v>
      </c>
      <c r="F92" s="12">
        <f>SUM(D92:E92)</f>
        <v>106.0</v>
      </c>
    </row>
    <row r="93" spans="8:8">
      <c r="A93" s="4">
        <v>89.0</v>
      </c>
      <c r="B93" s="4" t="s">
        <v>10</v>
      </c>
      <c r="C93" s="4" t="s">
        <v>110</v>
      </c>
      <c r="D93" s="5">
        <v>39.0</v>
      </c>
      <c r="E93" s="5">
        <v>27.0</v>
      </c>
      <c r="F93" s="5">
        <f>SUM(D93:E93)</f>
        <v>66.0</v>
      </c>
    </row>
    <row r="94" spans="8:8">
      <c r="A94" s="11">
        <v>90.0</v>
      </c>
      <c r="B94" s="11" t="s">
        <v>10</v>
      </c>
      <c r="C94" s="11" t="s">
        <v>111</v>
      </c>
      <c r="D94" s="12">
        <v>76.0</v>
      </c>
      <c r="E94" s="12">
        <v>30.0</v>
      </c>
      <c r="F94" s="12">
        <f>SUM(D94:E94)</f>
        <v>106.0</v>
      </c>
    </row>
    <row r="95" spans="8:8">
      <c r="A95" s="4">
        <v>91.0</v>
      </c>
      <c r="B95" s="4" t="s">
        <v>10</v>
      </c>
      <c r="C95" s="4" t="s">
        <v>112</v>
      </c>
      <c r="D95" s="5">
        <v>81.0</v>
      </c>
      <c r="E95" s="5">
        <v>21.0</v>
      </c>
      <c r="F95" s="5">
        <f>SUM(D95:E95)</f>
        <v>102.0</v>
      </c>
    </row>
    <row r="96" spans="8:8">
      <c r="A96" s="11">
        <v>92.0</v>
      </c>
      <c r="B96" s="11" t="s">
        <v>10</v>
      </c>
      <c r="C96" s="11" t="s">
        <v>113</v>
      </c>
      <c r="D96" s="12">
        <v>58.0</v>
      </c>
      <c r="E96" s="12">
        <v>26.0</v>
      </c>
      <c r="F96" s="12">
        <f>SUM(D96:E96)</f>
        <v>84.0</v>
      </c>
    </row>
    <row r="97" spans="8:8">
      <c r="A97" s="7"/>
      <c r="B97" s="7" t="s">
        <v>11</v>
      </c>
      <c r="C97" s="7"/>
      <c r="D97" s="8">
        <f>SUM(D5:D96)</f>
        <v>6034.0</v>
      </c>
      <c r="E97" s="8">
        <f>SUM(E5:E96)</f>
        <v>2329.0</v>
      </c>
      <c r="F97" s="8">
        <f>SUM(F5:F96)</f>
        <v>8363.0</v>
      </c>
    </row>
  </sheetData>
  <pageMargins left="0.75" right="0.75" top="1.0" bottom="1.0" header="0.5" footer="0.5"/>
</worksheet>
</file>

<file path=docProps/app.xml><?xml version="1.0" encoding="utf-8"?>
<Properties xmlns="http://schemas.openxmlformats.org/officeDocument/2006/extended-properties">
  <Application>Kingsoft Office</Application>
  <ScaleCrop>0</ScaleCrop>
  <LinksUpToDate>0</LinksUpToDate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2026-08-21T05:22:55Z</dcterms:created>
  <dcterms:modified xsi:type="dcterms:W3CDTF">2026-08-21T12:23:23Z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872e4733639147c19940bcf2444908da</vt:lpwstr>
  </property>
</Properties>
</file>